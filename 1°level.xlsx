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a.gattuso\Desktop\X250 SL\FILE X SITO\"/>
    </mc:Choice>
  </mc:AlternateContent>
  <bookViews>
    <workbookView xWindow="0" yWindow="0" windowWidth="28800" windowHeight="12312"/>
  </bookViews>
  <sheets>
    <sheet name="1° LEVEL SINCOM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" localSheetId="0" hidden="1">'[1]#RIF'!#REF!</definedName>
    <definedName name="_" hidden="1">'[1]#RIF'!#REF!</definedName>
    <definedName name="__" localSheetId="0" hidden="1">'[2]#RIF'!#REF!</definedName>
    <definedName name="__" hidden="1">'[2]#RIF'!#REF!</definedName>
    <definedName name="___" localSheetId="0" hidden="1">'[2]#RIF'!#REF!</definedName>
    <definedName name="___" hidden="1">'[2]#RIF'!#REF!</definedName>
    <definedName name="____" localSheetId="0" hidden="1">'[2]#RIF'!#REF!</definedName>
    <definedName name="____" hidden="1">'[2]#RIF'!#REF!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PRD200403">#REF!</definedName>
    <definedName name="_______PRD200404">#REF!</definedName>
    <definedName name="______Chp1">[4]Données!#REF!</definedName>
    <definedName name="______Chp2">[4]Données!#REF!</definedName>
    <definedName name="______Chp3">[4]Données!#REF!</definedName>
    <definedName name="______PRD200403">#REF!</definedName>
    <definedName name="______PRD200404">#REF!</definedName>
    <definedName name="_____Chp1">[4]Données!#REF!</definedName>
    <definedName name="_____Chp2">[4]Données!#REF!</definedName>
    <definedName name="_____Chp3">[4]Données!#REF!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PRD200501">#REF!</definedName>
    <definedName name="___PRD200502">#REF!</definedName>
    <definedName name="___PRD200503">#REF!</definedName>
    <definedName name="___PRD200504">#REF!</definedName>
    <definedName name="__123Graph_A" localSheetId="0" hidden="1">'[5]#RIF'!#REF!</definedName>
    <definedName name="__123Graph_A" hidden="1">'[5]#RIF'!#REF!</definedName>
    <definedName name="__123Graph_ACorrente" localSheetId="0" hidden="1">[6]FIAT!#REF!</definedName>
    <definedName name="__123Graph_ACorrente" hidden="1">[6]FIAT!#REF!</definedName>
    <definedName name="__123Graph_B" localSheetId="0" hidden="1">'[5]#RIF'!#REF!</definedName>
    <definedName name="__123Graph_B" hidden="1">'[5]#RIF'!#REF!</definedName>
    <definedName name="__123Graph_BCorrente" localSheetId="0" hidden="1">[6]FIAT!#REF!</definedName>
    <definedName name="__123Graph_BCorrente" hidden="1">[6]FIAT!#REF!</definedName>
    <definedName name="__123Graph_C" localSheetId="0" hidden="1">[6]FIAT!#REF!</definedName>
    <definedName name="__123Graph_C" hidden="1">[6]FIAT!#REF!</definedName>
    <definedName name="__123Graph_CCorrente" localSheetId="0" hidden="1">[6]FIAT!#REF!</definedName>
    <definedName name="__123Graph_CCorrente" hidden="1">[6]FIAT!#REF!</definedName>
    <definedName name="__123Graph_D" localSheetId="0" hidden="1">[6]FIAT!#REF!</definedName>
    <definedName name="__123Graph_D" hidden="1">[6]FIAT!#REF!</definedName>
    <definedName name="__123Graph_DCorrente" localSheetId="0" hidden="1">[6]FIAT!#REF!</definedName>
    <definedName name="__123Graph_DCorrente" hidden="1">[6]FIAT!#REF!</definedName>
    <definedName name="__123Graph_E" localSheetId="0" hidden="1">[6]FIAT!#REF!</definedName>
    <definedName name="__123Graph_E" hidden="1">[6]FIAT!#REF!</definedName>
    <definedName name="__123Graph_ECorrente" localSheetId="0" hidden="1">[6]FIAT!#REF!</definedName>
    <definedName name="__123Graph_ECorrente" hidden="1">[6]FIAT!#REF!</definedName>
    <definedName name="__123Graph_F" localSheetId="0" hidden="1">[6]FIAT!#REF!</definedName>
    <definedName name="__123Graph_F" hidden="1">[6]FIAT!#REF!</definedName>
    <definedName name="__123Graph_FCorrente" localSheetId="0" hidden="1">[6]FIAT!#REF!</definedName>
    <definedName name="__123Graph_FCorrente" hidden="1">[6]FIAT!#REF!</definedName>
    <definedName name="__123Graph_LBL_A" hidden="1">#REF!</definedName>
    <definedName name="__123Graph_X" localSheetId="0" hidden="1">'[5]#RIF'!#REF!</definedName>
    <definedName name="__123Graph_X" hidden="1">'[5]#RIF'!#REF!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3F" localSheetId="0" hidden="1">'[2]#RIF'!#REF!</definedName>
    <definedName name="_3F" hidden="1">'[2]#RIF'!#REF!</definedName>
    <definedName name="_4F" localSheetId="0" hidden="1">#REF!</definedName>
    <definedName name="_4F" hidden="1">#REF!</definedName>
    <definedName name="_5_0_0_F" localSheetId="0" hidden="1">'[2]#RIF'!#REF!</definedName>
    <definedName name="_5_0_0_F" hidden="1">'[2]#RIF'!#REF!</definedName>
    <definedName name="_6_0_0_F" localSheetId="0" hidden="1">#REF!</definedName>
    <definedName name="_6_0_0_F" hidden="1">#REF!</definedName>
    <definedName name="_a" localSheetId="0" hidden="1">{"'OBT_6M_30_6'!$S$1:$AE$53"}</definedName>
    <definedName name="_a" hidden="1">{"'OBT_6M_30_6'!$S$1:$AE$53"}</definedName>
    <definedName name="_Chp1">#REF!</definedName>
    <definedName name="_Chp2">#REF!</definedName>
    <definedName name="_Chp3">#REF!</definedName>
    <definedName name="_com" localSheetId="0" hidden="1">{"'OBT_6M_30_6'!$S$1:$AE$53"}</definedName>
    <definedName name="_com" hidden="1">{"'OBT_6M_30_6'!$S$1:$AE$53"}</definedName>
    <definedName name="_COMN" localSheetId="0" hidden="1">{"'OBT_6M_30_6'!$S$1:$AE$53"}</definedName>
    <definedName name="_COMN" hidden="1">{"'OBT_6M_30_6'!$S$1:$AE$53"}</definedName>
    <definedName name="_Fill" localSheetId="0" hidden="1">[7]RIPCCAF96!#REF!</definedName>
    <definedName name="_Fill" hidden="1">[7]RIPCCAF96!#REF!</definedName>
    <definedName name="_xlnm._FilterDatabase" localSheetId="0" hidden="1">#REF!</definedName>
    <definedName name="_xlnm._FilterDatabase" hidden="1">#REF!</definedName>
    <definedName name="_Key1" localSheetId="0" hidden="1">[8]chapisteria!#REF!</definedName>
    <definedName name="_Key1" hidden="1">[8]chapisteria!#REF!</definedName>
    <definedName name="_Key2" localSheetId="0" hidden="1">#REF!</definedName>
    <definedName name="_Key2" hidden="1">#REF!</definedName>
    <definedName name="_mmm1">#N/A</definedName>
    <definedName name="_Order1" hidden="1">255</definedName>
    <definedName name="_Order2" hidden="1">255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qtt9">#N/A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A">#REF!</definedName>
    <definedName name="AAAA">#N/A</definedName>
    <definedName name="aaaaaa">#N/A</definedName>
    <definedName name="aaq">#N/A</definedName>
    <definedName name="AASSD" localSheetId="0" hidden="1">{"'BGT2001'!$A$1:$AE$112"}</definedName>
    <definedName name="AASSD" hidden="1">{"'BGT2001'!$A$1:$AE$112"}</definedName>
    <definedName name="ab">#REF!</definedName>
    <definedName name="ACD">#N/A</definedName>
    <definedName name="adjuri" localSheetId="0" hidden="1">{"'OBT_6M_30_6'!$S$1:$AE$53"}</definedName>
    <definedName name="adjuri" hidden="1">{"'OBT_6M_30_6'!$S$1:$AE$53"}</definedName>
    <definedName name="anscount" hidden="1">1</definedName>
    <definedName name="ARGENTINA">#N/A</definedName>
    <definedName name="ASDFVG" localSheetId="0" hidden="1">{"'BGT2001'!$A$1:$AE$112"}</definedName>
    <definedName name="ASDFVG" hidden="1">{"'BGT2001'!$A$1:$AE$112"}</definedName>
    <definedName name="azerty" hidden="1">#REF!</definedName>
    <definedName name="b" localSheetId="0">#REF!</definedName>
    <definedName name="b">#REF!</definedName>
    <definedName name="BB">#REF!</definedName>
    <definedName name="BBB">#N/A</definedName>
    <definedName name="BUDGET">#REF!</definedName>
    <definedName name="CBWorkbookPriority" hidden="1">-290093309</definedName>
    <definedName name="CC">#N/A</definedName>
    <definedName name="CCCCCCCCC" localSheetId="0" hidden="1">{"'BGT2001'!$A$1:$AE$112"}</definedName>
    <definedName name="CCCCCCCCC" hidden="1">{"'BGT2001'!$A$1:$AE$112"}</definedName>
    <definedName name="ccvxcvxcbxzbbxc">#N/A</definedName>
    <definedName name="ce_lf_fore" localSheetId="0" hidden="1">{"'BGT2001'!$A$1:$AE$112"}</definedName>
    <definedName name="ce_lf_fore" hidden="1">{"'BGT2001'!$A$1:$AE$112"}</definedName>
    <definedName name="CIAO" localSheetId="0" hidden="1">{"'OBT_6M_30_6'!$S$1:$AE$53"}</definedName>
    <definedName name="CIAO" hidden="1">{"'OBT_6M_30_6'!$S$1:$AE$53"}</definedName>
    <definedName name="d" hidden="1">#REF!</definedName>
    <definedName name="d00">#REF!</definedName>
    <definedName name="daniela">#N/A</definedName>
    <definedName name="DATA">#REF!</definedName>
    <definedName name="DC7141__RPC">"2001A"</definedName>
    <definedName name="DCAD">#REF!</definedName>
    <definedName name="DCAD1">#REF!</definedName>
    <definedName name="dfdwed" localSheetId="0" hidden="1">'[1]#RIF'!#REF!</definedName>
    <definedName name="dfdwed" hidden="1">'[1]#RIF'!#REF!</definedName>
    <definedName name="dg" hidden="1">#REF!</definedName>
    <definedName name="dom" localSheetId="0" hidden="1">{"'OBT_6M_30_6'!$S$1:$AE$53"}</definedName>
    <definedName name="dom" hidden="1">{"'OBT_6M_30_6'!$S$1:$AE$53"}</definedName>
    <definedName name="DPAD">#REF!</definedName>
    <definedName name="DPCA">#REF!</definedName>
    <definedName name="ds">'[9]Optional per Versione'!$A$10:$CX$996</definedName>
    <definedName name="dsi">'[9]Optional per Versione'!$1:$1048576</definedName>
    <definedName name="DUXF">#REF!</definedName>
    <definedName name="DUXF草案">#REF!</definedName>
    <definedName name="e" hidden="1">#REF!</definedName>
    <definedName name="erefewrfw" localSheetId="0" hidden="1">'[1]#RIF'!#REF!</definedName>
    <definedName name="erefewrfw" hidden="1">'[1]#RIF'!#REF!</definedName>
    <definedName name="ert" hidden="1">#REF!</definedName>
    <definedName name="et" hidden="1">#REF!</definedName>
    <definedName name="f" hidden="1">#REF!</definedName>
    <definedName name="fabrizio" localSheetId="0" hidden="1">{"'OBT_6M_30_6'!$S$1:$AE$53"}</definedName>
    <definedName name="fabrizio" hidden="1">{"'OBT_6M_30_6'!$S$1:$AE$53"}</definedName>
    <definedName name="fas" localSheetId="0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d">#N/A</definedName>
    <definedName name="fdgdg" hidden="1">#REF!</definedName>
    <definedName name="fgdfgdf" hidden="1">#REF!</definedName>
    <definedName name="fgdhdhf">#REF!</definedName>
    <definedName name="fh79w54848">#N/A</definedName>
    <definedName name="filna" localSheetId="0" hidden="1">{"'OBT_6M_30_6'!$S$1:$AE$53"}</definedName>
    <definedName name="filna" hidden="1">{"'OBT_6M_30_6'!$S$1:$AE$53"}</definedName>
    <definedName name="fsd">#REF!</definedName>
    <definedName name="gdfgdfgd" hidden="1">#REF!</definedName>
    <definedName name="gg">#N/A</definedName>
    <definedName name="ghdftghfgh">#REF!</definedName>
    <definedName name="gii" localSheetId="0" hidden="1">{"'OBT_6M_30_6'!$S$1:$AE$53"}</definedName>
    <definedName name="gii" hidden="1">{"'OBT_6M_30_6'!$S$1:$AE$53"}</definedName>
    <definedName name="hdfuri79076">#N/A</definedName>
    <definedName name="hg">#REF!</definedName>
    <definedName name="hhhfiof">#N/A</definedName>
    <definedName name="hi">#N/A</definedName>
    <definedName name="HTML_CodePage" hidden="1">1252</definedName>
    <definedName name="HTML_Control" localSheetId="0" hidden="1">{"'OBT_6M_30_6'!$S$1:$AE$53"}</definedName>
    <definedName name="HTML_Control" hidden="1">{"'OBT_6M_30_6'!$S$1:$AE$53"}</definedName>
    <definedName name="HTML_Description" hidden="1">""</definedName>
    <definedName name="HTML_Email" hidden="1">"albert.accarino@fiat.com"</definedName>
    <definedName name="HTML_Header" hidden="1">"Br 07 prog"</definedName>
    <definedName name="HTML_LastUpdate" hidden="1">"25/08/00"</definedName>
    <definedName name="HTML_LineAfter" hidden="1">FALSE</definedName>
    <definedName name="HTML_LineBefore" hidden="1">TRUE</definedName>
    <definedName name="HTML_Name" hidden="1">"alberto"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"C:\WINDOWS\Desktop\Stk Anziano 6 mesi\Anz_6m_II.htm"</definedName>
    <definedName name="HTML_PathTemplate" hidden="1">"D:\Intranet\Titolo_Stock_Anziano_mensile.htm"</definedName>
    <definedName name="HTML_Title" hidden="1">"Luglio Argentina Automatico"</definedName>
    <definedName name="HTML1_1" hidden="1">"'[Quadro Macroeconomico.xls]pesi'!$A$1:$E$9"</definedName>
    <definedName name="HTML1_10" hidden="1">""</definedName>
    <definedName name="HTML1_11" hidden="1">1</definedName>
    <definedName name="HTML1_12" hidden="1">"C:\pubblica\Quadromacroeconomico\Tabelle\pippo.htm"</definedName>
    <definedName name="HTML1_2" hidden="1">1</definedName>
    <definedName name="HTML1_3" hidden="1">"Quadro Macroeconomico"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2_1" hidden="1">"[OBT_6M_1.XLS]OBT_6M_sem!$B$5:$M$51"</definedName>
    <definedName name="HTML2_11" hidden="1">1</definedName>
    <definedName name="HTML2_12" hidden="1">"C:\WEB\EXCEL\STK_ANZ\ANZ_6M.HTM"</definedName>
    <definedName name="HTML2_2" hidden="1">-4146</definedName>
    <definedName name="HTML2_3" hidden="1">"C:\WEB\EXCEL\STK_ANZ\HTMLTEMP.HTM"</definedName>
    <definedName name="HTMLCount" hidden="1">1</definedName>
    <definedName name="INCSTA_FRAIKIN" localSheetId="0" hidden="1">{"'BGT2001'!$A$1:$AE$112"}</definedName>
    <definedName name="INCSTA_FRAIKIN" hidden="1">{"'BGT2001'!$A$1:$AE$112"}</definedName>
    <definedName name="jhgejyzsds">#N/A</definedName>
    <definedName name="jhhg">#REF!</definedName>
    <definedName name="JLKGJG" localSheetId="0" hidden="1">{"'OBT_6M_30_6'!$S$1:$AE$53"}</definedName>
    <definedName name="JLKGJG" hidden="1">{"'OBT_6M_30_6'!$S$1:$AE$53"}</definedName>
    <definedName name="kg84954w095y9w0ugirjjgòoerjshdgòahsdgjhaòdsgsdgrhrherhrhthth">#N/A</definedName>
    <definedName name="KK">#N/A</definedName>
    <definedName name="KKK">#N/A</definedName>
    <definedName name="KPI" localSheetId="0" hidden="1">{"'OBT_6M_30_6'!$S$1:$AE$53"}</definedName>
    <definedName name="KPI" hidden="1">{"'OBT_6M_30_6'!$S$1:$AE$53"}</definedName>
    <definedName name="L" localSheetId="0" hidden="1">{"'OBT_6M_30_6'!$S$1:$AE$53"}</definedName>
    <definedName name="L" hidden="1">{"'OBT_6M_30_6'!$S$1:$AE$53"}</definedName>
    <definedName name="LIDIA" localSheetId="0" hidden="1">{"'OBT_6M_30_6'!$S$1:$AE$53"}</definedName>
    <definedName name="LIDIA" hidden="1">{"'OBT_6M_30_6'!$S$1:$AE$53"}</definedName>
    <definedName name="LIDIA2" localSheetId="0" hidden="1">{"'OBT_6M_30_6'!$S$1:$AE$53"}</definedName>
    <definedName name="LIDIA2" hidden="1">{"'OBT_6M_30_6'!$S$1:$AE$53"}</definedName>
    <definedName name="LIDIA3" localSheetId="0" hidden="1">{"'OBT_6M_30_6'!$S$1:$AE$53"}</definedName>
    <definedName name="LIDIA3" hidden="1">{"'OBT_6M_30_6'!$S$1:$AE$53"}</definedName>
    <definedName name="LIDIA4" localSheetId="0" hidden="1">{"'OBT_6M_30_6'!$S$1:$AE$53"}</definedName>
    <definedName name="LIDIA4" hidden="1">{"'OBT_6M_30_6'!$S$1:$AE$53"}</definedName>
    <definedName name="Ligne_detail">#REF!</definedName>
    <definedName name="limcount" hidden="1">1</definedName>
    <definedName name="ll">#REF!</definedName>
    <definedName name="Ly">#N/A</definedName>
    <definedName name="MACRO">#N/A</definedName>
    <definedName name="Macro1">#N/A</definedName>
    <definedName name="Macro1.Macro1">#N/A</definedName>
    <definedName name="Macro2">#N/A</definedName>
    <definedName name="MACRO3">#N/A</definedName>
    <definedName name="managgsia" localSheetId="0" hidden="1">{"'OBT_6M_30_6'!$S$1:$AE$53"}</definedName>
    <definedName name="managgsia" hidden="1">{"'OBT_6M_30_6'!$S$1:$AE$53"}</definedName>
    <definedName name="mio_foglio" localSheetId="0">#REF!</definedName>
    <definedName name="mio_foglio">#REF!</definedName>
    <definedName name="mio_foglio_1x10" localSheetId="0">#REF!</definedName>
    <definedName name="mio_foglio_1x10">#REF!</definedName>
    <definedName name="mio_foglio_2x100" localSheetId="0">#REF!</definedName>
    <definedName name="mio_foglio_2x100">#REF!</definedName>
    <definedName name="mio_foglio_2x200" localSheetId="0">#REF!</definedName>
    <definedName name="mio_foglio_2x200">#REF!</definedName>
    <definedName name="mio_foglio_2x50" localSheetId="0">#REF!</definedName>
    <definedName name="mio_foglio_2x50">#REF!</definedName>
    <definedName name="mix">'[10]Griglia Mondo - Mix (2)'!$A$9:$CU$1001</definedName>
    <definedName name="mmm">#N/A</definedName>
    <definedName name="mmmm" localSheetId="0" hidden="1">{"'OBT_6M_30_6'!$S$1:$AE$53"}</definedName>
    <definedName name="mmmm" hidden="1">{"'OBT_6M_30_6'!$S$1:$AE$53"}</definedName>
    <definedName name="MOD">'[11]Griglia Mondo - Mix (2)'!$1:$1048576</definedName>
    <definedName name="MPOI">'[11]Griglia Mondo - Mix (2)'!$A$9:$AW$745</definedName>
    <definedName name="MyRange000030" localSheetId="0">#REF!</definedName>
    <definedName name="MyRange000030">#REF!</definedName>
    <definedName name="MyRange000064" localSheetId="0">#REF!</definedName>
    <definedName name="MyRange000064">#REF!</definedName>
    <definedName name="MyRange000076" localSheetId="0">#REF!</definedName>
    <definedName name="MyRange000076">#REF!</definedName>
    <definedName name="MyRange1500031" localSheetId="0">#REF!</definedName>
    <definedName name="MyRange1500031">#REF!</definedName>
    <definedName name="MyRange1500065" localSheetId="0">#REF!</definedName>
    <definedName name="MyRange1500065">#REF!</definedName>
    <definedName name="MyRange1500099" localSheetId="0">#REF!</definedName>
    <definedName name="MyRange1500099">#REF!</definedName>
    <definedName name="MyRange1500133" localSheetId="0">#REF!</definedName>
    <definedName name="MyRange1500133">#REF!</definedName>
    <definedName name="MyRange1500167" localSheetId="0">#REF!</definedName>
    <definedName name="MyRange1500167">#REF!</definedName>
    <definedName name="MyRange1500201" localSheetId="0">#REF!</definedName>
    <definedName name="MyRange1500201">#REF!</definedName>
    <definedName name="MyRange1500235" localSheetId="0">#REF!</definedName>
    <definedName name="MyRange1500235">#REF!</definedName>
    <definedName name="MyRange1500269" localSheetId="0">#REF!</definedName>
    <definedName name="MyRange1500269">#REF!</definedName>
    <definedName name="MyRange1500303" localSheetId="0">#REF!</definedName>
    <definedName name="MyRange1500303">#REF!</definedName>
    <definedName name="MyRange1500337" localSheetId="0">#REF!</definedName>
    <definedName name="MyRange1500337">#REF!</definedName>
    <definedName name="MyRange1500371" localSheetId="0">#REF!</definedName>
    <definedName name="MyRange1500371">#REF!</definedName>
    <definedName name="MyRange1500405" localSheetId="0">#REF!</definedName>
    <definedName name="MyRange1500405">#REF!</definedName>
    <definedName name="MyRange1500439" localSheetId="0">#REF!</definedName>
    <definedName name="MyRange1500439">#REF!</definedName>
    <definedName name="MyRange1500473" localSheetId="0">#REF!</definedName>
    <definedName name="MyRange1500473">#REF!</definedName>
    <definedName name="MyRange1500507" localSheetId="0">#REF!</definedName>
    <definedName name="MyRange1500507">#REF!</definedName>
    <definedName name="MyRange1500541" localSheetId="0">#REF!</definedName>
    <definedName name="MyRange1500541">#REF!</definedName>
    <definedName name="MyRange1500571" localSheetId="0">#REF!</definedName>
    <definedName name="MyRange1500571">#REF!</definedName>
    <definedName name="nmm">#N/A</definedName>
    <definedName name="OP" localSheetId="0" hidden="1">{"'OBT_6M_30_6'!$S$1:$AE$53"}</definedName>
    <definedName name="OP" hidden="1">{"'OBT_6M_30_6'!$S$1:$AE$53"}</definedName>
    <definedName name="OPERATING" localSheetId="0" hidden="1">{"'BGT2001'!$A$1:$AE$112"}</definedName>
    <definedName name="OPERATING" hidden="1">{"'BGT2001'!$A$1:$AE$112"}</definedName>
    <definedName name="opi">#N/A</definedName>
    <definedName name="Other_OP" localSheetId="0" hidden="1">{"'BGT2001'!$A$1:$AE$112"}</definedName>
    <definedName name="Other_OP" hidden="1">{"'BGT2001'!$A$1:$AE$112"}</definedName>
    <definedName name="OTHOP" localSheetId="0" hidden="1">{"'BGT2001'!$A$1:$AE$112"}</definedName>
    <definedName name="OTHOP" hidden="1">{"'BGT2001'!$A$1:$AE$112"}</definedName>
    <definedName name="PIO">'[12]Optional per Versione'!$A$10:$CX$996</definedName>
    <definedName name="piupiu">'[13]Optional per Versione'!$A$10:$CX$1014</definedName>
    <definedName name="pk" localSheetId="0" hidden="1">{"'OBT_6M_30_6'!$S$1:$AE$53"}</definedName>
    <definedName name="pk" hidden="1">{"'OBT_6M_30_6'!$S$1:$AE$53"}</definedName>
    <definedName name="poilo" localSheetId="0" hidden="1">{"'OBT_6M_30_6'!$S$1:$AE$53"}</definedName>
    <definedName name="poilo" hidden="1">{"'OBT_6M_30_6'!$S$1:$AE$53"}</definedName>
    <definedName name="PRO">#N/A</definedName>
    <definedName name="PUPU">'[12]Optional per Versione'!$1:$1048576</definedName>
    <definedName name="q" localSheetId="0" hidden="1">{"'OBT_6M_30_6'!$S$1:$AE$53"}</definedName>
    <definedName name="q" hidden="1">{"'OBT_6M_30_6'!$S$1:$AE$53"}</definedName>
    <definedName name="qwerty">#REF!</definedName>
    <definedName name="rezrzerz">#REF!</definedName>
    <definedName name="RGAIrett">#N/A</definedName>
    <definedName name="rhrty" localSheetId="0" hidden="1">'[2]#RIF'!#REF!</definedName>
    <definedName name="rhrty" hidden="1">'[2]#RIF'!#REF!</definedName>
    <definedName name="roma">#N/A</definedName>
    <definedName name="RTT" localSheetId="0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S" localSheetId="0" hidden="1">{"'OBT_6M_30_6'!$S$1:$AE$53"}</definedName>
    <definedName name="S" hidden="1">{"'OBT_6M_30_6'!$S$1:$AE$53"}</definedName>
    <definedName name="SANDRO" localSheetId="0" hidden="1">{"'OBT_6M_30_6'!$S$1:$AE$53"}</definedName>
    <definedName name="SANDRO" hidden="1">{"'OBT_6M_30_6'!$S$1:$AE$53"}</definedName>
    <definedName name="SAPBEXrevision" hidden="1">3</definedName>
    <definedName name="SAPBEXsysID" hidden="1">"FB3"</definedName>
    <definedName name="SAPBEXwbID" hidden="1">"3U2PSF1KESQK4U14B6X7C6DL5"</definedName>
    <definedName name="sdsdsd" localSheetId="0" hidden="1">{"'OBT_6M_30_6'!$S$1:$AE$53"}</definedName>
    <definedName name="sdsdsd" hidden="1">{"'OBT_6M_30_6'!$S$1:$AE$53"}</definedName>
    <definedName name="sencount" hidden="1">1</definedName>
    <definedName name="silvia">#N/A</definedName>
    <definedName name="SS">#N/A</definedName>
    <definedName name="SSSS" localSheetId="0" hidden="1">{"'OBT_6M_30_6'!$S$1:$AE$53"}</definedName>
    <definedName name="SSSS" hidden="1">{"'OBT_6M_30_6'!$S$1:$AE$53"}</definedName>
    <definedName name="sssttt" localSheetId="0" hidden="1">{#N/A,#N/A,FALSE,"CKD Price Build Up"}</definedName>
    <definedName name="sssttt" hidden="1">{#N/A,#N/A,FALSE,"CKD Price Build Up"}</definedName>
    <definedName name="teste">#N/A</definedName>
    <definedName name="teste1">#N/A</definedName>
    <definedName name="Titre_colonnes">#REF!</definedName>
    <definedName name="Titre_general">#REF!</definedName>
    <definedName name="Titre_lignes">#REF!</definedName>
    <definedName name="tkfkfyfjfjffjfjfj">#N/A</definedName>
    <definedName name="Total">#REF!</definedName>
    <definedName name="ttt" localSheetId="0" hidden="1">{"'OBT_6M_30_6'!$S$1:$AE$53"}</definedName>
    <definedName name="ttt" hidden="1">{"'OBT_6M_30_6'!$S$1:$AE$53"}</definedName>
    <definedName name="TURCHIA">#N/A</definedName>
    <definedName name="tyo">#N/A</definedName>
    <definedName name="ujhjg" localSheetId="0" hidden="1">{#N/A,#N/A,FALSE,"Contr. Margin"}</definedName>
    <definedName name="ujhjg" hidden="1">{#N/A,#N/A,FALSE,"Contr. Margin"}</definedName>
    <definedName name="utitbnfjhdffh">#N/A</definedName>
    <definedName name="VVV" localSheetId="0" hidden="1">{"'OBT_6M_30_6'!$S$1:$AE$53"}</definedName>
    <definedName name="VVV" hidden="1">{"'OBT_6M_30_6'!$S$1:$AE$53"}</definedName>
    <definedName name="w" localSheetId="0" hidden="1">{"'OBT_6M_30_6'!$S$1:$AE$53"}</definedName>
    <definedName name="w" hidden="1">{"'OBT_6M_30_6'!$S$1:$AE$53"}</definedName>
    <definedName name="WH工厂排产日历">#REF!</definedName>
    <definedName name="wqedw" localSheetId="0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Big._.Four._.Countries." localSheetId="0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CKD._.Price._.Build._.Up." localSheetId="0" hidden="1">{#N/A,#N/A,FALSE,"CKD Price Build Up"}</definedName>
    <definedName name="wrn.CKD._.Price._.Build._.Up." hidden="1">{#N/A,#N/A,FALSE,"CKD Price Build Up"}</definedName>
    <definedName name="wrn.Contribution._.Margin." localSheetId="0" hidden="1">{#N/A,#N/A,FALSE,"Contr. Margin"}</definedName>
    <definedName name="wrn.Contribution._.Margin." hidden="1">{#N/A,#N/A,FALSE,"Contr. Margin"}</definedName>
    <definedName name="wrn.due_stringhe_bdg_po." localSheetId="0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localSheetId="0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localSheetId="0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Print." localSheetId="0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localSheetId="0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tre_stringhe." localSheetId="0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we">#N/A</definedName>
    <definedName name="xccccvcxbxc">#N/A</definedName>
    <definedName name="xxx" localSheetId="0">#REF!</definedName>
    <definedName name="xxx">#REF!</definedName>
    <definedName name="ytor">#N/A</definedName>
    <definedName name="yz" localSheetId="0" hidden="1">{"'OBT_6M_30_6'!$S$1:$AE$53"}</definedName>
    <definedName name="yz" hidden="1">{"'OBT_6M_30_6'!$S$1:$AE$53"}</definedName>
    <definedName name="zerzerze">#REF!</definedName>
    <definedName name="zone_a_conso">#REF!</definedName>
    <definedName name="Zone_impres_MI">#REF!</definedName>
    <definedName name="zz">#N/A</definedName>
    <definedName name="ZZZZZZZZZZZZZZ" localSheetId="0" hidden="1">{"'OBT_6M_30_6'!$S$1:$AE$53"}</definedName>
    <definedName name="ZZZZZZZZZZZZZZ" hidden="1">{"'OBT_6M_30_6'!$S$1:$AE$53"}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3" i="2" l="1"/>
  <c r="Q92" i="2"/>
  <c r="N92" i="2"/>
  <c r="M92" i="2"/>
  <c r="L92" i="2"/>
  <c r="R92" i="2" s="1"/>
  <c r="Q91" i="2"/>
  <c r="N91" i="2"/>
  <c r="M91" i="2"/>
  <c r="L91" i="2"/>
  <c r="R91" i="2" s="1"/>
  <c r="R90" i="2"/>
  <c r="Q90" i="2"/>
  <c r="N90" i="2"/>
  <c r="M90" i="2"/>
  <c r="L90" i="2"/>
  <c r="Q89" i="2"/>
  <c r="N89" i="2"/>
  <c r="M89" i="2"/>
  <c r="L89" i="2"/>
  <c r="R89" i="2" s="1"/>
  <c r="Q88" i="2"/>
  <c r="Q93" i="2" s="1"/>
  <c r="N88" i="2"/>
  <c r="R88" i="2" s="1"/>
  <c r="M88" i="2"/>
  <c r="L88" i="2"/>
  <c r="Q87" i="2"/>
  <c r="N87" i="2"/>
  <c r="M87" i="2"/>
  <c r="L87" i="2"/>
  <c r="L93" i="2" s="1"/>
  <c r="N82" i="2"/>
  <c r="L82" i="2"/>
  <c r="R82" i="2" s="1"/>
  <c r="Q77" i="2"/>
  <c r="Q76" i="2"/>
  <c r="N76" i="2"/>
  <c r="M76" i="2"/>
  <c r="L76" i="2"/>
  <c r="R76" i="2" s="1"/>
  <c r="Q75" i="2"/>
  <c r="N75" i="2"/>
  <c r="M75" i="2"/>
  <c r="R75" i="2" s="1"/>
  <c r="L75" i="2"/>
  <c r="Q74" i="2"/>
  <c r="N74" i="2"/>
  <c r="M74" i="2"/>
  <c r="L74" i="2"/>
  <c r="R74" i="2" s="1"/>
  <c r="Q73" i="2"/>
  <c r="N73" i="2"/>
  <c r="M73" i="2"/>
  <c r="L73" i="2"/>
  <c r="R73" i="2" s="1"/>
  <c r="R72" i="2"/>
  <c r="Q72" i="2"/>
  <c r="N72" i="2"/>
  <c r="N77" i="2" s="1"/>
  <c r="M72" i="2"/>
  <c r="M77" i="2" s="1"/>
  <c r="L72" i="2"/>
  <c r="L77" i="2" s="1"/>
  <c r="M67" i="2"/>
  <c r="L67" i="2"/>
  <c r="R67" i="2" s="1"/>
  <c r="Q66" i="2"/>
  <c r="N66" i="2"/>
  <c r="M66" i="2"/>
  <c r="L66" i="2"/>
  <c r="R66" i="2" s="1"/>
  <c r="Q65" i="2"/>
  <c r="Q68" i="2" s="1"/>
  <c r="N65" i="2"/>
  <c r="N68" i="2" s="1"/>
  <c r="M65" i="2"/>
  <c r="M68" i="2" s="1"/>
  <c r="L65" i="2"/>
  <c r="R65" i="2" s="1"/>
  <c r="R68" i="2" l="1"/>
  <c r="R77" i="2"/>
  <c r="N93" i="2"/>
  <c r="L68" i="2"/>
  <c r="R87" i="2"/>
  <c r="R93" i="2" s="1"/>
</calcChain>
</file>

<file path=xl/sharedStrings.xml><?xml version="1.0" encoding="utf-8"?>
<sst xmlns="http://schemas.openxmlformats.org/spreadsheetml/2006/main" count="636" uniqueCount="406">
  <si>
    <t>LEGENDA SINCOM</t>
  </si>
  <si>
    <t>SINCOM AVAILABILITY</t>
  </si>
  <si>
    <t>XXX</t>
  </si>
  <si>
    <t>SINCOM per A.M.000 I/CE GSX LHD</t>
  </si>
  <si>
    <t>SINCOM per A.M.000 I/CE GSX LHD e A.M.870 UK GDX RHD</t>
  </si>
  <si>
    <t>SINCOM per A.M.000 I/CE GSX LHD e A.M.870 UK GDX RHD e A.M.250 JAPAN GDX RHD</t>
  </si>
  <si>
    <t>New version available in 000 to open in 870</t>
  </si>
  <si>
    <t>TRAZIONE e SERIE</t>
  </si>
  <si>
    <t>TRACTION and SERIES</t>
  </si>
  <si>
    <t>FWD - SERIES 2</t>
  </si>
  <si>
    <t>MODELLO</t>
  </si>
  <si>
    <t>MODEL</t>
  </si>
  <si>
    <t>290/252</t>
  </si>
  <si>
    <t>295 / 254</t>
  </si>
  <si>
    <t>PTT</t>
  </si>
  <si>
    <t>GVW</t>
  </si>
  <si>
    <t>3500-3510-3650</t>
  </si>
  <si>
    <t>3500-3510</t>
  </si>
  <si>
    <t>4000-4250-4400</t>
  </si>
  <si>
    <t>MOTORIZZAZIONI e POTENZE</t>
  </si>
  <si>
    <t>ENGINE and POWER</t>
  </si>
  <si>
    <t>DIESEL EVO 
88 kW 
120 HP</t>
  </si>
  <si>
    <t>DIESEL EVO 
103 kW 140 HP</t>
  </si>
  <si>
    <t>DIESEL EVO 
120 kW 160 HP</t>
  </si>
  <si>
    <t>DIESEL EVO 
130 kW 180 HP</t>
  </si>
  <si>
    <t>CAMBIO</t>
  </si>
  <si>
    <t>TRANSMISSION</t>
  </si>
  <si>
    <t>MT6</t>
  </si>
  <si>
    <t>AT8</t>
  </si>
  <si>
    <t>DECODIFICA MOTORE / CAMBIO</t>
  </si>
  <si>
    <t>ENGINE / TRANSMISSION CODIFICATION</t>
  </si>
  <si>
    <t>**2</t>
  </si>
  <si>
    <t>**3</t>
  </si>
  <si>
    <t>**4</t>
  </si>
  <si>
    <t>**U</t>
  </si>
  <si>
    <t>**V</t>
  </si>
  <si>
    <t>**W</t>
  </si>
  <si>
    <t>**X</t>
  </si>
  <si>
    <t>**5</t>
  </si>
  <si>
    <t>**6</t>
  </si>
  <si>
    <t>**Y</t>
  </si>
  <si>
    <t>**Z</t>
  </si>
  <si>
    <t>OMOLOGAZIONE</t>
  </si>
  <si>
    <t>HOMOLOGATION</t>
  </si>
  <si>
    <t>EURO 6E</t>
  </si>
  <si>
    <t>EURO VI E</t>
  </si>
  <si>
    <t>SPECIALITA' di SCOCCA</t>
  </si>
  <si>
    <t>BODY TYPE</t>
  </si>
  <si>
    <t>SEVEL</t>
  </si>
  <si>
    <t>GLIWICE</t>
  </si>
  <si>
    <t>FURGONE LASTRATO</t>
  </si>
  <si>
    <t>PANEL VAN</t>
  </si>
  <si>
    <t>L-MH1</t>
  </si>
  <si>
    <t>-</t>
  </si>
  <si>
    <t>XL2</t>
  </si>
  <si>
    <t>1L2</t>
  </si>
  <si>
    <t>5L2</t>
  </si>
  <si>
    <t>5L3</t>
  </si>
  <si>
    <t>AL3</t>
  </si>
  <si>
    <t>AL4</t>
  </si>
  <si>
    <t>L-MH2</t>
  </si>
  <si>
    <t>XG2</t>
  </si>
  <si>
    <t>1G2</t>
  </si>
  <si>
    <t>5G2</t>
  </si>
  <si>
    <t>5G3</t>
  </si>
  <si>
    <t>AG3</t>
  </si>
  <si>
    <t>AG4</t>
  </si>
  <si>
    <t>AG5</t>
  </si>
  <si>
    <t>AG6</t>
  </si>
  <si>
    <t>AGU</t>
  </si>
  <si>
    <t>FG3</t>
  </si>
  <si>
    <t>FG6</t>
  </si>
  <si>
    <t>L-LH2</t>
  </si>
  <si>
    <t>6G2</t>
  </si>
  <si>
    <t>6G3</t>
  </si>
  <si>
    <t>BG3</t>
  </si>
  <si>
    <t>BG4</t>
  </si>
  <si>
    <t>BG5</t>
  </si>
  <si>
    <t>BG6</t>
  </si>
  <si>
    <t>BGU</t>
  </si>
  <si>
    <t>BGZ</t>
  </si>
  <si>
    <t>GG3</t>
  </si>
  <si>
    <t>GG6</t>
  </si>
  <si>
    <t>GGZ</t>
  </si>
  <si>
    <t>L-LH3</t>
  </si>
  <si>
    <t>BA3</t>
  </si>
  <si>
    <t>BA4</t>
  </si>
  <si>
    <t>BA6</t>
  </si>
  <si>
    <t>L-XLH2</t>
  </si>
  <si>
    <t>CG3</t>
  </si>
  <si>
    <t>CGU</t>
  </si>
  <si>
    <t>CG5</t>
  </si>
  <si>
    <t>CG6</t>
  </si>
  <si>
    <t>CGZ</t>
  </si>
  <si>
    <t>HG3</t>
  </si>
  <si>
    <t>HG6</t>
  </si>
  <si>
    <t>HGZ</t>
  </si>
  <si>
    <t>L-XLH3</t>
  </si>
  <si>
    <t>CA3</t>
  </si>
  <si>
    <t>CAU</t>
  </si>
  <si>
    <t>CA5</t>
  </si>
  <si>
    <t>CA6</t>
  </si>
  <si>
    <t>CAZ</t>
  </si>
  <si>
    <t>HA5</t>
  </si>
  <si>
    <t>HA6</t>
  </si>
  <si>
    <t>HAZ</t>
  </si>
  <si>
    <t>FURGONE VETRATO</t>
  </si>
  <si>
    <t>GLAZED VAN</t>
  </si>
  <si>
    <t>V-MH2</t>
  </si>
  <si>
    <t>AH3</t>
  </si>
  <si>
    <t>AH5</t>
  </si>
  <si>
    <t>AH6</t>
  </si>
  <si>
    <t>V-LH2</t>
  </si>
  <si>
    <t>BH3</t>
  </si>
  <si>
    <t>BH4</t>
  </si>
  <si>
    <t>BH6</t>
  </si>
  <si>
    <t>GH3</t>
  </si>
  <si>
    <t>GHU</t>
  </si>
  <si>
    <t>GH6</t>
  </si>
  <si>
    <t>V-XLH2</t>
  </si>
  <si>
    <t>CH3</t>
  </si>
  <si>
    <t>CH6</t>
  </si>
  <si>
    <t>HH3</t>
  </si>
  <si>
    <t>HHU</t>
  </si>
  <si>
    <t>HH6</t>
  </si>
  <si>
    <t>HHZ</t>
  </si>
  <si>
    <t>FURGONE FIANCATA MISTA (SEMIVETRATO)</t>
  </si>
  <si>
    <t>SEMI GLAZED VAN</t>
  </si>
  <si>
    <t>SV-MH2</t>
  </si>
  <si>
    <t>AX3</t>
  </si>
  <si>
    <t>AX5</t>
  </si>
  <si>
    <t>AX6</t>
  </si>
  <si>
    <t>SV-LH2</t>
  </si>
  <si>
    <t>BX3</t>
  </si>
  <si>
    <t>BX4</t>
  </si>
  <si>
    <t>BX5</t>
  </si>
  <si>
    <t>BX6</t>
  </si>
  <si>
    <t>CABINATO CABINA SINGOLA</t>
  </si>
  <si>
    <t>CHASSIS SINGLE CAB</t>
  </si>
  <si>
    <t>C-MH1</t>
  </si>
  <si>
    <t>AC2</t>
  </si>
  <si>
    <t>AC3</t>
  </si>
  <si>
    <t>AC4</t>
  </si>
  <si>
    <t>ACU</t>
  </si>
  <si>
    <t>ACV</t>
  </si>
  <si>
    <t>AC5</t>
  </si>
  <si>
    <t>AC6</t>
  </si>
  <si>
    <t>FC6</t>
  </si>
  <si>
    <t>C-MLH1</t>
  </si>
  <si>
    <t>LC2</t>
  </si>
  <si>
    <t>LC3</t>
  </si>
  <si>
    <t>LC4</t>
  </si>
  <si>
    <t>LC5</t>
  </si>
  <si>
    <t>LC6</t>
  </si>
  <si>
    <t>C-LH1</t>
  </si>
  <si>
    <t>BC2</t>
  </si>
  <si>
    <t>BC3</t>
  </si>
  <si>
    <t>BC4</t>
  </si>
  <si>
    <t>BCU</t>
  </si>
  <si>
    <t>BC5</t>
  </si>
  <si>
    <t>BC6</t>
  </si>
  <si>
    <t>BCY</t>
  </si>
  <si>
    <t>BCZ</t>
  </si>
  <si>
    <t>GC3</t>
  </si>
  <si>
    <t>GC5</t>
  </si>
  <si>
    <t>GC6</t>
  </si>
  <si>
    <t>GCZ</t>
  </si>
  <si>
    <t>C-XLH1</t>
  </si>
  <si>
    <t>CC3</t>
  </si>
  <si>
    <t>CC4</t>
  </si>
  <si>
    <t>CC5</t>
  </si>
  <si>
    <t>CC6</t>
  </si>
  <si>
    <t>CCU</t>
  </si>
  <si>
    <t>CCY</t>
  </si>
  <si>
    <t>CCZ</t>
  </si>
  <si>
    <t>CASSONATO CABINA SINGOLA</t>
  </si>
  <si>
    <t>DROPSIDE SINGLE CAB</t>
  </si>
  <si>
    <t>A72</t>
  </si>
  <si>
    <t>A73</t>
  </si>
  <si>
    <t>A74</t>
  </si>
  <si>
    <t>L72</t>
  </si>
  <si>
    <t>L73</t>
  </si>
  <si>
    <t>L74</t>
  </si>
  <si>
    <t>B72</t>
  </si>
  <si>
    <t>B73</t>
  </si>
  <si>
    <t>B74</t>
  </si>
  <si>
    <t>B75</t>
  </si>
  <si>
    <t>B76</t>
  </si>
  <si>
    <t>G75</t>
  </si>
  <si>
    <t>G76</t>
  </si>
  <si>
    <t>C73</t>
  </si>
  <si>
    <t>C74</t>
  </si>
  <si>
    <t>C75</t>
  </si>
  <si>
    <t>C76</t>
  </si>
  <si>
    <t>CABINA MOTRICE</t>
  </si>
  <si>
    <t>MOTOR CAB</t>
  </si>
  <si>
    <t>CM-MTH1</t>
  </si>
  <si>
    <t>DC3</t>
  </si>
  <si>
    <t>DC6</t>
  </si>
  <si>
    <t>JC5</t>
  </si>
  <si>
    <t>JC6</t>
  </si>
  <si>
    <t>CABINATO CABINA DOPPIA</t>
  </si>
  <si>
    <t>CHASSIS DOUBLE CAB</t>
  </si>
  <si>
    <t>DC-MH1</t>
  </si>
  <si>
    <t>AD3</t>
  </si>
  <si>
    <t>DC-LH1</t>
  </si>
  <si>
    <t>BD3</t>
  </si>
  <si>
    <t>BD4</t>
  </si>
  <si>
    <t>BD6</t>
  </si>
  <si>
    <t>GD5</t>
  </si>
  <si>
    <t>GD6</t>
  </si>
  <si>
    <t>DC-XLH1</t>
  </si>
  <si>
    <t>CD3</t>
  </si>
  <si>
    <t>CD5</t>
  </si>
  <si>
    <t>CD6</t>
  </si>
  <si>
    <t>CASSONATO CABINA DOPPIA</t>
  </si>
  <si>
    <t>DROPSIDE DOUBLE CAB</t>
  </si>
  <si>
    <t>A93</t>
  </si>
  <si>
    <t>B93</t>
  </si>
  <si>
    <t>B94</t>
  </si>
  <si>
    <t>B96</t>
  </si>
  <si>
    <t>G95</t>
  </si>
  <si>
    <t>G96</t>
  </si>
  <si>
    <t>C93</t>
  </si>
  <si>
    <t>C95</t>
  </si>
  <si>
    <t>C96</t>
  </si>
  <si>
    <t>FURGONE LASTRATO (TEMPO LIBERO)</t>
  </si>
  <si>
    <t>PANEL VAN (CAMPER SETUP)</t>
  </si>
  <si>
    <t>A83</t>
  </si>
  <si>
    <t>A8X</t>
  </si>
  <si>
    <t>A32</t>
  </si>
  <si>
    <t>A33</t>
  </si>
  <si>
    <t>A34</t>
  </si>
  <si>
    <t>A3U</t>
  </si>
  <si>
    <t>A3W</t>
  </si>
  <si>
    <t>A3X</t>
  </si>
  <si>
    <t>A36</t>
  </si>
  <si>
    <t>A3Z</t>
  </si>
  <si>
    <t>B32</t>
  </si>
  <si>
    <t>B33</t>
  </si>
  <si>
    <t>B34</t>
  </si>
  <si>
    <t>B3W</t>
  </si>
  <si>
    <t>B3X</t>
  </si>
  <si>
    <t>B36</t>
  </si>
  <si>
    <t>B3U</t>
  </si>
  <si>
    <t>G33</t>
  </si>
  <si>
    <t>G34</t>
  </si>
  <si>
    <t>G3V</t>
  </si>
  <si>
    <t>G3W</t>
  </si>
  <si>
    <t>G3X</t>
  </si>
  <si>
    <t>G3Z</t>
  </si>
  <si>
    <t>B4X</t>
  </si>
  <si>
    <t>B46</t>
  </si>
  <si>
    <t>B43</t>
  </si>
  <si>
    <t>B44</t>
  </si>
  <si>
    <t>B4U</t>
  </si>
  <si>
    <t>B4W</t>
  </si>
  <si>
    <t>B4Z</t>
  </si>
  <si>
    <t>G4V</t>
  </si>
  <si>
    <t>G4X</t>
  </si>
  <si>
    <t>G4Z</t>
  </si>
  <si>
    <t>C33</t>
  </si>
  <si>
    <t>C34</t>
  </si>
  <si>
    <t>C3W</t>
  </si>
  <si>
    <t>C3X</t>
  </si>
  <si>
    <t>C36</t>
  </si>
  <si>
    <t>H3V</t>
  </si>
  <si>
    <t>H3X</t>
  </si>
  <si>
    <t>H36</t>
  </si>
  <si>
    <t>H3Z</t>
  </si>
  <si>
    <t>C43</t>
  </si>
  <si>
    <t>C44</t>
  </si>
  <si>
    <t>C4W</t>
  </si>
  <si>
    <t>C4X</t>
  </si>
  <si>
    <t>C46</t>
  </si>
  <si>
    <t>H4V</t>
  </si>
  <si>
    <t>H4X</t>
  </si>
  <si>
    <t>H46</t>
  </si>
  <si>
    <t>H4Z</t>
  </si>
  <si>
    <t>CABINATO (TEMPO LIBERO)</t>
  </si>
  <si>
    <t>CHASSIS SINGLE CAB (CAMPER SETUP)</t>
  </si>
  <si>
    <t>A13</t>
  </si>
  <si>
    <t>A14</t>
  </si>
  <si>
    <t>A1W</t>
  </si>
  <si>
    <t>A1X</t>
  </si>
  <si>
    <t>L13</t>
  </si>
  <si>
    <t>L14</t>
  </si>
  <si>
    <t>L1W</t>
  </si>
  <si>
    <t>L1X</t>
  </si>
  <si>
    <t>B13</t>
  </si>
  <si>
    <t>B14</t>
  </si>
  <si>
    <t>B1W</t>
  </si>
  <si>
    <t>B1X</t>
  </si>
  <si>
    <t>G1X</t>
  </si>
  <si>
    <t>G16</t>
  </si>
  <si>
    <t>H1X</t>
  </si>
  <si>
    <t>H16</t>
  </si>
  <si>
    <t>CABINA MOTRICE (TEMPO LIBERO)</t>
  </si>
  <si>
    <t>MOTOR CAB (CAMPER SETUP)</t>
  </si>
  <si>
    <t>CMTL-MTH1</t>
  </si>
  <si>
    <t>D14</t>
  </si>
  <si>
    <t>D1X</t>
  </si>
  <si>
    <t>D16</t>
  </si>
  <si>
    <t>J14</t>
  </si>
  <si>
    <t>J1X</t>
  </si>
  <si>
    <t>J1Z</t>
  </si>
  <si>
    <t>CABINATO SPECIAL (TEMPO LIBERO)</t>
  </si>
  <si>
    <t>CHASSIS SPECIAL SINGLE CAB (CAMPER SETUP)</t>
  </si>
  <si>
    <t>CS-MH1</t>
  </si>
  <si>
    <t>A52</t>
  </si>
  <si>
    <t>A53</t>
  </si>
  <si>
    <t>A54</t>
  </si>
  <si>
    <t>A5W</t>
  </si>
  <si>
    <t>A5X</t>
  </si>
  <si>
    <t>CS-MLH1</t>
  </si>
  <si>
    <t>L52</t>
  </si>
  <si>
    <t>L53</t>
  </si>
  <si>
    <t>L54</t>
  </si>
  <si>
    <t>L5W</t>
  </si>
  <si>
    <t>L5X</t>
  </si>
  <si>
    <t>L56</t>
  </si>
  <si>
    <t>P5U</t>
  </si>
  <si>
    <t>P5V</t>
  </si>
  <si>
    <t>P5W</t>
  </si>
  <si>
    <t>P5X</t>
  </si>
  <si>
    <t>CS-LH1</t>
  </si>
  <si>
    <t>B52</t>
  </si>
  <si>
    <t>B53</t>
  </si>
  <si>
    <t>B54</t>
  </si>
  <si>
    <t>B5U</t>
  </si>
  <si>
    <t>B5V</t>
  </si>
  <si>
    <t>B5W</t>
  </si>
  <si>
    <t>B5X</t>
  </si>
  <si>
    <t>B56</t>
  </si>
  <si>
    <t>G5U</t>
  </si>
  <si>
    <t>G5V</t>
  </si>
  <si>
    <t>G5W</t>
  </si>
  <si>
    <t>G5X</t>
  </si>
  <si>
    <t>G56</t>
  </si>
  <si>
    <t>G5Z</t>
  </si>
  <si>
    <t>CS-XXLH1</t>
  </si>
  <si>
    <t>SCUDATO (TEMPO LIBERO)</t>
  </si>
  <si>
    <t>CHASSIS COWL (CAMPER SETUP)</t>
  </si>
  <si>
    <t>SCTL-M</t>
  </si>
  <si>
    <t>SCTL-ML</t>
  </si>
  <si>
    <t>L24</t>
  </si>
  <si>
    <t>L2X</t>
  </si>
  <si>
    <t>SCTL-L</t>
  </si>
  <si>
    <t>B23</t>
  </si>
  <si>
    <t>B24</t>
  </si>
  <si>
    <t>B2W</t>
  </si>
  <si>
    <t>B2X</t>
  </si>
  <si>
    <t>B26</t>
  </si>
  <si>
    <t>G2X</t>
  </si>
  <si>
    <t>G26</t>
  </si>
  <si>
    <t>SCUDATO MOTORE (TEMPO LIBERO)</t>
  </si>
  <si>
    <t>MOTOR COWL (CAMPER SETUP)</t>
  </si>
  <si>
    <t>SMTL-MT</t>
  </si>
  <si>
    <t>D24</t>
  </si>
  <si>
    <t>D2X</t>
  </si>
  <si>
    <t>D26</t>
  </si>
  <si>
    <t>J2X</t>
  </si>
  <si>
    <t>J2Z</t>
  </si>
  <si>
    <t>SCUDATO SPECIAL (TEMPO LIBERO)</t>
  </si>
  <si>
    <t>CHASSIS SPECIAL COWL (CAMPER SETUP)</t>
  </si>
  <si>
    <t>SS-M</t>
  </si>
  <si>
    <t>A63</t>
  </si>
  <si>
    <t>A64</t>
  </si>
  <si>
    <t>A6W</t>
  </si>
  <si>
    <t>A6X</t>
  </si>
  <si>
    <t>SS-ML</t>
  </si>
  <si>
    <t>L63</t>
  </si>
  <si>
    <t>L64</t>
  </si>
  <si>
    <t>L6W</t>
  </si>
  <si>
    <t>L6X</t>
  </si>
  <si>
    <t>L66</t>
  </si>
  <si>
    <t>P6X</t>
  </si>
  <si>
    <t>P66</t>
  </si>
  <si>
    <t>SS-L</t>
  </si>
  <si>
    <t>B63</t>
  </si>
  <si>
    <t>B64</t>
  </si>
  <si>
    <t>B6W</t>
  </si>
  <si>
    <t>B6X</t>
  </si>
  <si>
    <t>B66</t>
  </si>
  <si>
    <t>G6X</t>
  </si>
  <si>
    <t>G66</t>
  </si>
  <si>
    <t>G6Z</t>
  </si>
  <si>
    <t>SCTL-XXL</t>
  </si>
  <si>
    <t>LHD</t>
  </si>
  <si>
    <t>RHD</t>
  </si>
  <si>
    <t>ICE</t>
  </si>
  <si>
    <t>BEV</t>
  </si>
  <si>
    <t>Panel Van</t>
  </si>
  <si>
    <t>Glazed Van</t>
  </si>
  <si>
    <t>Half Glazed Van</t>
  </si>
  <si>
    <t>Chassis Cab</t>
  </si>
  <si>
    <t>Dropside</t>
  </si>
  <si>
    <t>Chassis Special</t>
  </si>
  <si>
    <t>Chassis Double</t>
  </si>
  <si>
    <t>Dropside Double</t>
  </si>
  <si>
    <t>Panel Van RV</t>
  </si>
  <si>
    <t>Chassis Cab RV</t>
  </si>
  <si>
    <t>Motor Cab</t>
  </si>
  <si>
    <t>Chassi Cowl</t>
  </si>
  <si>
    <t>Motor Cowl</t>
  </si>
  <si>
    <t>Chassis Special Cowl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</si>
</sst>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  <font>
      <b/>
      <sz val="10"/>
      <color rgb="FFFF0000"/>
      <name val="Verdana"/>
      <family val="2"/>
    </font>
    <font>
      <b/>
      <sz val="8"/>
      <name val="Verdana"/>
      <family val="2"/>
    </font>
    <font>
      <sz val="10"/>
      <name val="Arial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b/>
      <strike/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95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3" borderId="1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/>
    <xf numFmtId="0" fontId="4" fillId="4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vertical="center"/>
    </xf>
    <xf numFmtId="0" fontId="2" fillId="2" borderId="0" xfId="1" applyFont="1" applyFill="1"/>
    <xf numFmtId="0" fontId="3" fillId="2" borderId="0" xfId="1" applyFont="1" applyFill="1"/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3" fillId="3" borderId="2" xfId="1" applyFont="1" applyFill="1" applyBorder="1" applyAlignment="1">
      <alignment horizontal="center" vertical="center" textRotation="90" wrapText="1"/>
    </xf>
    <xf numFmtId="0" fontId="3" fillId="3" borderId="6" xfId="1" applyFont="1" applyFill="1" applyBorder="1" applyAlignment="1">
      <alignment horizontal="center" vertical="center" textRotation="90" wrapText="1"/>
    </xf>
    <xf numFmtId="0" fontId="3" fillId="3" borderId="7" xfId="1" applyFont="1" applyFill="1" applyBorder="1" applyAlignment="1">
      <alignment horizontal="center" vertical="center" textRotation="90" wrapText="1"/>
    </xf>
    <xf numFmtId="0" fontId="6" fillId="7" borderId="8" xfId="1" applyFont="1" applyFill="1" applyBorder="1" applyAlignment="1">
      <alignment horizontal="center" vertical="center" textRotation="90" wrapText="1"/>
    </xf>
    <xf numFmtId="0" fontId="6" fillId="7" borderId="9" xfId="1" applyFont="1" applyFill="1" applyBorder="1" applyAlignment="1">
      <alignment horizontal="center" vertical="center" textRotation="90" wrapText="1"/>
    </xf>
    <xf numFmtId="0" fontId="3" fillId="3" borderId="8" xfId="1" applyFont="1" applyFill="1" applyBorder="1" applyAlignment="1">
      <alignment horizontal="center" vertical="center" textRotation="90" wrapText="1"/>
    </xf>
    <xf numFmtId="0" fontId="3" fillId="3" borderId="10" xfId="1" applyFont="1" applyFill="1" applyBorder="1" applyAlignment="1">
      <alignment horizontal="center" vertical="center" textRotation="90" wrapText="1"/>
    </xf>
    <xf numFmtId="0" fontId="3" fillId="3" borderId="11" xfId="1" applyFont="1" applyFill="1" applyBorder="1" applyAlignment="1">
      <alignment horizontal="center" vertical="center" textRotation="90" wrapText="1"/>
    </xf>
    <xf numFmtId="0" fontId="3" fillId="3" borderId="3" xfId="1" applyFont="1" applyFill="1" applyBorder="1" applyAlignment="1">
      <alignment horizontal="center" vertical="center" textRotation="90" wrapText="1"/>
    </xf>
    <xf numFmtId="0" fontId="3" fillId="3" borderId="9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/>
    </xf>
    <xf numFmtId="0" fontId="2" fillId="1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15" borderId="2" xfId="1" applyFont="1" applyFill="1" applyBorder="1" applyAlignment="1">
      <alignment horizontal="center" vertical="center"/>
    </xf>
    <xf numFmtId="0" fontId="2" fillId="9" borderId="12" xfId="1" applyFont="1" applyFill="1" applyBorder="1" applyAlignment="1">
      <alignment horizontal="center" vertical="center"/>
    </xf>
    <xf numFmtId="0" fontId="2" fillId="15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7" fillId="2" borderId="0" xfId="1" applyFont="1" applyFill="1"/>
    <xf numFmtId="0" fontId="2" fillId="2" borderId="13" xfId="1" applyFont="1" applyFill="1" applyBorder="1" applyAlignment="1">
      <alignment vertical="center" wrapText="1"/>
    </xf>
    <xf numFmtId="0" fontId="3" fillId="2" borderId="13" xfId="1" applyFont="1" applyFill="1" applyBorder="1" applyAlignment="1">
      <alignment vertical="center" wrapText="1"/>
    </xf>
    <xf numFmtId="0" fontId="3" fillId="16" borderId="13" xfId="1" applyFont="1" applyFill="1" applyBorder="1" applyAlignment="1">
      <alignment vertical="center" wrapText="1"/>
    </xf>
    <xf numFmtId="0" fontId="2" fillId="2" borderId="14" xfId="2" applyFont="1" applyFill="1" applyBorder="1" applyAlignment="1">
      <alignment wrapText="1"/>
    </xf>
    <xf numFmtId="0" fontId="3" fillId="2" borderId="15" xfId="2" applyFont="1" applyFill="1" applyBorder="1"/>
    <xf numFmtId="0" fontId="7" fillId="16" borderId="2" xfId="1" applyFont="1" applyFill="1" applyBorder="1" applyAlignment="1">
      <alignment horizontal="left" vertical="center"/>
    </xf>
    <xf numFmtId="0" fontId="7" fillId="16" borderId="2" xfId="1" quotePrefix="1" applyFont="1" applyFill="1" applyBorder="1" applyAlignment="1">
      <alignment horizontal="left" vertical="center"/>
    </xf>
    <xf numFmtId="0" fontId="4" fillId="4" borderId="16" xfId="1" applyFont="1" applyFill="1" applyBorder="1" applyAlignment="1">
      <alignment vertical="center"/>
    </xf>
    <xf numFmtId="0" fontId="4" fillId="3" borderId="17" xfId="1" applyFont="1" applyFill="1" applyBorder="1" applyAlignment="1">
      <alignment vertical="center"/>
    </xf>
    <xf numFmtId="0" fontId="4" fillId="3" borderId="18" xfId="1" applyFont="1" applyFill="1" applyBorder="1" applyAlignment="1">
      <alignment vertical="center"/>
    </xf>
    <xf numFmtId="0" fontId="4" fillId="2" borderId="19" xfId="1" applyFont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4" fillId="4" borderId="18" xfId="1" applyFont="1" applyFill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3" fillId="2" borderId="20" xfId="2" applyFont="1" applyFill="1" applyBorder="1"/>
    <xf numFmtId="0" fontId="4" fillId="4" borderId="21" xfId="1" applyFont="1" applyFill="1" applyBorder="1" applyAlignment="1">
      <alignment vertical="center"/>
    </xf>
    <xf numFmtId="0" fontId="4" fillId="3" borderId="22" xfId="1" applyFont="1" applyFill="1" applyBorder="1" applyAlignment="1">
      <alignment vertical="center"/>
    </xf>
    <xf numFmtId="0" fontId="4" fillId="2" borderId="23" xfId="1" applyFont="1" applyFill="1" applyBorder="1" applyAlignment="1">
      <alignment vertical="center"/>
    </xf>
    <xf numFmtId="0" fontId="4" fillId="2" borderId="2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5" fillId="7" borderId="2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5" fillId="7" borderId="1" xfId="1" applyFont="1" applyFill="1" applyBorder="1" applyAlignment="1">
      <alignment vertical="center"/>
    </xf>
    <xf numFmtId="0" fontId="4" fillId="2" borderId="22" xfId="1" applyFont="1" applyFill="1" applyBorder="1" applyAlignment="1">
      <alignment vertical="center"/>
    </xf>
    <xf numFmtId="0" fontId="4" fillId="3" borderId="21" xfId="1" applyFont="1" applyFill="1" applyBorder="1" applyAlignment="1">
      <alignment vertical="center"/>
    </xf>
    <xf numFmtId="0" fontId="2" fillId="3" borderId="14" xfId="2" applyFont="1" applyFill="1" applyBorder="1" applyAlignment="1">
      <alignment wrapText="1"/>
    </xf>
    <xf numFmtId="0" fontId="3" fillId="3" borderId="20" xfId="2" applyFont="1" applyFill="1" applyBorder="1"/>
    <xf numFmtId="0" fontId="7" fillId="16" borderId="24" xfId="1" applyFont="1" applyFill="1" applyBorder="1" applyAlignment="1">
      <alignment horizontal="left" vertical="center"/>
    </xf>
    <xf numFmtId="0" fontId="4" fillId="2" borderId="25" xfId="1" applyFont="1" applyFill="1" applyBorder="1" applyAlignment="1">
      <alignment vertical="center"/>
    </xf>
    <xf numFmtId="0" fontId="4" fillId="2" borderId="26" xfId="1" applyFont="1" applyFill="1" applyBorder="1" applyAlignment="1">
      <alignment vertical="center"/>
    </xf>
    <xf numFmtId="0" fontId="4" fillId="2" borderId="27" xfId="1" applyFont="1" applyFill="1" applyBorder="1" applyAlignment="1">
      <alignment vertical="center"/>
    </xf>
    <xf numFmtId="0" fontId="4" fillId="2" borderId="28" xfId="1" applyFont="1" applyFill="1" applyBorder="1" applyAlignment="1">
      <alignment vertical="center"/>
    </xf>
    <xf numFmtId="0" fontId="4" fillId="4" borderId="26" xfId="1" applyFont="1" applyFill="1" applyBorder="1" applyAlignment="1">
      <alignment vertical="center"/>
    </xf>
    <xf numFmtId="0" fontId="4" fillId="4" borderId="27" xfId="1" applyFont="1" applyFill="1" applyBorder="1" applyAlignment="1">
      <alignment vertical="center"/>
    </xf>
    <xf numFmtId="0" fontId="4" fillId="3" borderId="27" xfId="1" applyFont="1" applyFill="1" applyBorder="1" applyAlignment="1">
      <alignment vertical="center"/>
    </xf>
    <xf numFmtId="0" fontId="2" fillId="2" borderId="29" xfId="2" applyFont="1" applyFill="1" applyBorder="1" applyAlignment="1">
      <alignment wrapText="1"/>
    </xf>
    <xf numFmtId="0" fontId="7" fillId="16" borderId="30" xfId="1" applyFont="1" applyFill="1" applyBorder="1" applyAlignment="1">
      <alignment horizontal="left" vertical="center"/>
    </xf>
    <xf numFmtId="0" fontId="4" fillId="2" borderId="17" xfId="1" applyFont="1" applyFill="1" applyBorder="1" applyAlignment="1">
      <alignment vertical="center"/>
    </xf>
    <xf numFmtId="0" fontId="9" fillId="3" borderId="18" xfId="1" applyFont="1" applyFill="1" applyBorder="1" applyAlignment="1">
      <alignment vertical="center"/>
    </xf>
    <xf numFmtId="0" fontId="9" fillId="4" borderId="1" xfId="1" applyFont="1" applyFill="1" applyBorder="1" applyAlignment="1">
      <alignment vertical="center"/>
    </xf>
    <xf numFmtId="0" fontId="2" fillId="2" borderId="31" xfId="2" applyFont="1" applyFill="1" applyBorder="1" applyAlignment="1">
      <alignment wrapText="1"/>
    </xf>
    <xf numFmtId="0" fontId="3" fillId="2" borderId="32" xfId="2" applyFont="1" applyFill="1" applyBorder="1"/>
    <xf numFmtId="0" fontId="7" fillId="16" borderId="33" xfId="1" applyFont="1" applyFill="1" applyBorder="1" applyAlignment="1">
      <alignment horizontal="left" vertical="center"/>
    </xf>
    <xf numFmtId="0" fontId="4" fillId="0" borderId="26" xfId="1" applyFont="1" applyFill="1" applyBorder="1" applyAlignment="1">
      <alignment vertical="center"/>
    </xf>
    <xf numFmtId="0" fontId="4" fillId="0" borderId="27" xfId="1" applyFont="1" applyFill="1" applyBorder="1" applyAlignment="1">
      <alignment vertical="center"/>
    </xf>
    <xf numFmtId="0" fontId="2" fillId="2" borderId="34" xfId="2" applyFont="1" applyFill="1" applyBorder="1" applyAlignment="1">
      <alignment wrapText="1"/>
    </xf>
    <xf numFmtId="0" fontId="7" fillId="16" borderId="30" xfId="1" quotePrefix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vertical="center"/>
    </xf>
    <xf numFmtId="0" fontId="2" fillId="2" borderId="35" xfId="2" applyFont="1" applyFill="1" applyBorder="1" applyAlignment="1">
      <alignment wrapText="1"/>
    </xf>
    <xf numFmtId="0" fontId="2" fillId="3" borderId="35" xfId="2" applyFont="1" applyFill="1" applyBorder="1" applyAlignment="1">
      <alignment wrapText="1"/>
    </xf>
    <xf numFmtId="0" fontId="2" fillId="3" borderId="20" xfId="2" applyFont="1" applyFill="1" applyBorder="1"/>
    <xf numFmtId="0" fontId="10" fillId="3" borderId="34" xfId="2" applyFont="1" applyFill="1" applyBorder="1" applyAlignment="1">
      <alignment wrapText="1"/>
    </xf>
    <xf numFmtId="0" fontId="11" fillId="3" borderId="15" xfId="2" applyFont="1" applyFill="1" applyBorder="1"/>
    <xf numFmtId="0" fontId="12" fillId="16" borderId="30" xfId="1" applyFont="1" applyFill="1" applyBorder="1" applyAlignment="1">
      <alignment horizontal="left" vertical="center"/>
    </xf>
    <xf numFmtId="0" fontId="10" fillId="3" borderId="35" xfId="2" applyFont="1" applyFill="1" applyBorder="1" applyAlignment="1">
      <alignment wrapText="1"/>
    </xf>
    <xf numFmtId="0" fontId="10" fillId="3" borderId="20" xfId="2" applyFont="1" applyFill="1" applyBorder="1"/>
    <xf numFmtId="0" fontId="12" fillId="16" borderId="2" xfId="1" applyFont="1" applyFill="1" applyBorder="1" applyAlignment="1">
      <alignment horizontal="left" vertical="center"/>
    </xf>
    <xf numFmtId="0" fontId="10" fillId="3" borderId="36" xfId="2" applyFont="1" applyFill="1" applyBorder="1" applyAlignment="1">
      <alignment wrapText="1"/>
    </xf>
    <xf numFmtId="0" fontId="10" fillId="3" borderId="32" xfId="2" applyFont="1" applyFill="1" applyBorder="1"/>
    <xf numFmtId="0" fontId="12" fillId="16" borderId="33" xfId="1" applyFont="1" applyFill="1" applyBorder="1" applyAlignment="1">
      <alignment horizontal="left" vertical="center"/>
    </xf>
    <xf numFmtId="0" fontId="7" fillId="16" borderId="33" xfId="1" quotePrefix="1" applyFont="1" applyFill="1" applyBorder="1" applyAlignment="1">
      <alignment horizontal="left" vertical="center"/>
    </xf>
    <xf numFmtId="0" fontId="2" fillId="2" borderId="37" xfId="2" applyFont="1" applyFill="1" applyBorder="1" applyAlignment="1">
      <alignment wrapText="1"/>
    </xf>
    <xf numFmtId="0" fontId="3" fillId="2" borderId="38" xfId="2" applyFont="1" applyFill="1" applyBorder="1"/>
    <xf numFmtId="0" fontId="7" fillId="16" borderId="39" xfId="1" applyFont="1" applyFill="1" applyBorder="1" applyAlignment="1">
      <alignment horizontal="left" vertical="center"/>
    </xf>
    <xf numFmtId="0" fontId="7" fillId="16" borderId="39" xfId="1" quotePrefix="1" applyFont="1" applyFill="1" applyBorder="1" applyAlignment="1">
      <alignment horizontal="left" vertical="center"/>
    </xf>
    <xf numFmtId="0" fontId="4" fillId="2" borderId="40" xfId="1" applyFont="1" applyFill="1" applyBorder="1" applyAlignment="1">
      <alignment vertical="center"/>
    </xf>
    <xf numFmtId="0" fontId="4" fillId="2" borderId="37" xfId="1" applyFont="1" applyFill="1" applyBorder="1" applyAlignment="1">
      <alignment vertical="center"/>
    </xf>
    <xf numFmtId="0" fontId="4" fillId="2" borderId="38" xfId="1" applyFont="1" applyFill="1" applyBorder="1" applyAlignment="1">
      <alignment vertical="center"/>
    </xf>
    <xf numFmtId="0" fontId="4" fillId="2" borderId="41" xfId="1" applyFont="1" applyFill="1" applyBorder="1" applyAlignment="1">
      <alignment vertical="center"/>
    </xf>
    <xf numFmtId="0" fontId="4" fillId="4" borderId="38" xfId="1" applyFont="1" applyFill="1" applyBorder="1" applyAlignment="1">
      <alignment vertical="center"/>
    </xf>
    <xf numFmtId="0" fontId="2" fillId="3" borderId="31" xfId="2" applyFont="1" applyFill="1" applyBorder="1" applyAlignment="1">
      <alignment wrapText="1"/>
    </xf>
    <xf numFmtId="0" fontId="10" fillId="3" borderId="29" xfId="2" applyFont="1" applyFill="1" applyBorder="1" applyAlignment="1">
      <alignment wrapText="1"/>
    </xf>
    <xf numFmtId="0" fontId="10" fillId="3" borderId="14" xfId="2" applyFont="1" applyFill="1" applyBorder="1" applyAlignment="1">
      <alignment wrapText="1"/>
    </xf>
    <xf numFmtId="0" fontId="10" fillId="3" borderId="31" xfId="2" applyFont="1" applyFill="1" applyBorder="1" applyAlignment="1">
      <alignment wrapText="1"/>
    </xf>
    <xf numFmtId="0" fontId="4" fillId="3" borderId="26" xfId="1" applyFont="1" applyFill="1" applyBorder="1" applyAlignment="1">
      <alignment vertical="center"/>
    </xf>
    <xf numFmtId="0" fontId="3" fillId="2" borderId="42" xfId="2" applyFont="1" applyFill="1" applyBorder="1"/>
    <xf numFmtId="0" fontId="4" fillId="0" borderId="18" xfId="1" applyFont="1" applyFill="1" applyBorder="1" applyAlignment="1">
      <alignment vertical="center"/>
    </xf>
    <xf numFmtId="0" fontId="5" fillId="7" borderId="18" xfId="1" applyFont="1" applyFill="1" applyBorder="1" applyAlignment="1">
      <alignment vertical="center"/>
    </xf>
    <xf numFmtId="0" fontId="4" fillId="3" borderId="23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5" fillId="7" borderId="27" xfId="1" applyFont="1" applyFill="1" applyBorder="1" applyAlignment="1">
      <alignment vertical="center"/>
    </xf>
    <xf numFmtId="0" fontId="4" fillId="0" borderId="27" xfId="1" applyFont="1" applyBorder="1" applyAlignment="1">
      <alignment vertical="center"/>
    </xf>
    <xf numFmtId="0" fontId="5" fillId="6" borderId="27" xfId="1" applyFont="1" applyFill="1" applyBorder="1" applyAlignment="1">
      <alignment vertical="center"/>
    </xf>
    <xf numFmtId="0" fontId="7" fillId="16" borderId="24" xfId="1" quotePrefix="1" applyFont="1" applyFill="1" applyBorder="1" applyAlignment="1">
      <alignment horizontal="left" vertical="center"/>
    </xf>
    <xf numFmtId="0" fontId="4" fillId="2" borderId="43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0" fontId="4" fillId="4" borderId="13" xfId="1" applyFont="1" applyFill="1" applyBorder="1" applyAlignment="1">
      <alignment vertical="center"/>
    </xf>
    <xf numFmtId="0" fontId="5" fillId="7" borderId="13" xfId="1" applyFont="1" applyFill="1" applyBorder="1" applyAlignment="1">
      <alignment vertical="center"/>
    </xf>
    <xf numFmtId="0" fontId="5" fillId="7" borderId="0" xfId="1" applyFont="1" applyFill="1" applyAlignment="1">
      <alignment vertical="center"/>
    </xf>
    <xf numFmtId="0" fontId="5" fillId="7" borderId="38" xfId="1" applyFont="1" applyFill="1" applyBorder="1" applyAlignment="1">
      <alignment vertical="center"/>
    </xf>
    <xf numFmtId="0" fontId="3" fillId="2" borderId="15" xfId="2" applyFont="1" applyFill="1" applyBorder="1" applyAlignment="1">
      <alignment horizontal="left" vertical="top" wrapText="1"/>
    </xf>
    <xf numFmtId="0" fontId="5" fillId="7" borderId="16" xfId="1" applyFont="1" applyFill="1" applyBorder="1" applyAlignment="1">
      <alignment vertical="center"/>
    </xf>
    <xf numFmtId="0" fontId="4" fillId="3" borderId="19" xfId="1" applyFont="1" applyFill="1" applyBorder="1" applyAlignment="1">
      <alignment vertical="center"/>
    </xf>
    <xf numFmtId="0" fontId="3" fillId="2" borderId="20" xfId="2" applyFont="1" applyFill="1" applyBorder="1" applyAlignment="1">
      <alignment horizontal="left" vertical="top" wrapText="1"/>
    </xf>
    <xf numFmtId="0" fontId="13" fillId="3" borderId="1" xfId="1" applyFont="1" applyFill="1" applyBorder="1" applyAlignment="1">
      <alignment vertical="center"/>
    </xf>
    <xf numFmtId="0" fontId="2" fillId="0" borderId="31" xfId="2" applyFont="1" applyBorder="1" applyAlignment="1">
      <alignment wrapText="1"/>
    </xf>
    <xf numFmtId="0" fontId="2" fillId="0" borderId="32" xfId="2" applyFont="1" applyBorder="1"/>
    <xf numFmtId="0" fontId="5" fillId="0" borderId="1" xfId="1" applyFont="1" applyBorder="1" applyAlignment="1">
      <alignment vertical="center"/>
    </xf>
    <xf numFmtId="0" fontId="5" fillId="7" borderId="32" xfId="1" applyFont="1" applyFill="1" applyBorder="1" applyAlignment="1">
      <alignment vertical="center"/>
    </xf>
    <xf numFmtId="0" fontId="3" fillId="2" borderId="46" xfId="2" applyFont="1" applyFill="1" applyBorder="1"/>
    <xf numFmtId="0" fontId="7" fillId="16" borderId="47" xfId="1" applyFont="1" applyFill="1" applyBorder="1" applyAlignment="1">
      <alignment horizontal="left" vertical="center"/>
    </xf>
    <xf numFmtId="0" fontId="5" fillId="6" borderId="38" xfId="1" applyFont="1" applyFill="1" applyBorder="1" applyAlignment="1">
      <alignment vertical="center"/>
    </xf>
    <xf numFmtId="0" fontId="7" fillId="16" borderId="48" xfId="1" applyFont="1" applyFill="1" applyBorder="1" applyAlignment="1">
      <alignment horizontal="left" vertical="center"/>
    </xf>
    <xf numFmtId="0" fontId="7" fillId="16" borderId="49" xfId="1" quotePrefix="1" applyFont="1" applyFill="1" applyBorder="1" applyAlignment="1">
      <alignment horizontal="left" vertical="center"/>
    </xf>
    <xf numFmtId="0" fontId="4" fillId="2" borderId="50" xfId="1" applyFont="1" applyFill="1" applyBorder="1" applyAlignment="1">
      <alignment vertical="center"/>
    </xf>
    <xf numFmtId="0" fontId="4" fillId="2" borderId="51" xfId="1" applyFont="1" applyFill="1" applyBorder="1" applyAlignment="1">
      <alignment vertical="center"/>
    </xf>
    <xf numFmtId="0" fontId="4" fillId="2" borderId="52" xfId="1" applyFont="1" applyFill="1" applyBorder="1" applyAlignment="1">
      <alignment vertical="center"/>
    </xf>
    <xf numFmtId="0" fontId="4" fillId="2" borderId="53" xfId="1" applyFont="1" applyFill="1" applyBorder="1" applyAlignment="1">
      <alignment vertical="center"/>
    </xf>
    <xf numFmtId="0" fontId="5" fillId="7" borderId="52" xfId="1" applyFont="1" applyFill="1" applyBorder="1" applyAlignment="1">
      <alignment vertical="center"/>
    </xf>
    <xf numFmtId="0" fontId="4" fillId="4" borderId="52" xfId="1" applyFont="1" applyFill="1" applyBorder="1" applyAlignment="1">
      <alignment vertical="center"/>
    </xf>
    <xf numFmtId="0" fontId="7" fillId="16" borderId="3" xfId="1" applyFont="1" applyFill="1" applyBorder="1" applyAlignment="1">
      <alignment horizontal="left" vertical="center"/>
    </xf>
    <xf numFmtId="0" fontId="3" fillId="2" borderId="54" xfId="2" applyFont="1" applyFill="1" applyBorder="1"/>
    <xf numFmtId="0" fontId="3" fillId="3" borderId="55" xfId="2" applyFont="1" applyFill="1" applyBorder="1"/>
    <xf numFmtId="0" fontId="7" fillId="16" borderId="56" xfId="1" applyFont="1" applyFill="1" applyBorder="1" applyAlignment="1">
      <alignment horizontal="left" vertical="center"/>
    </xf>
    <xf numFmtId="0" fontId="7" fillId="2" borderId="57" xfId="1" applyFont="1" applyFill="1" applyBorder="1" applyAlignment="1">
      <alignment horizontal="center"/>
    </xf>
    <xf numFmtId="0" fontId="7" fillId="2" borderId="54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4" fillId="2" borderId="57" xfId="1" applyFont="1" applyFill="1" applyBorder="1"/>
    <xf numFmtId="0" fontId="7" fillId="2" borderId="57" xfId="1" applyFont="1" applyFill="1" applyBorder="1" applyAlignment="1">
      <alignment horizontal="center"/>
    </xf>
    <xf numFmtId="0" fontId="7" fillId="2" borderId="54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4" fillId="2" borderId="54" xfId="1" applyFont="1" applyFill="1" applyBorder="1"/>
    <xf numFmtId="0" fontId="4" fillId="2" borderId="0" xfId="1" applyFont="1" applyFill="1" applyBorder="1"/>
    <xf numFmtId="0" fontId="4" fillId="2" borderId="48" xfId="1" applyFont="1" applyFill="1" applyBorder="1"/>
    <xf numFmtId="0" fontId="4" fillId="2" borderId="49" xfId="1" applyFont="1" applyFill="1" applyBorder="1"/>
    <xf numFmtId="0" fontId="4" fillId="2" borderId="58" xfId="1" applyFont="1" applyFill="1" applyBorder="1"/>
    <xf numFmtId="0" fontId="4" fillId="2" borderId="24" xfId="1" applyFont="1" applyFill="1" applyBorder="1"/>
    <xf numFmtId="0" fontId="4" fillId="3" borderId="1" xfId="2" applyFont="1" applyFill="1" applyBorder="1" applyAlignment="1">
      <alignment vertical="center"/>
    </xf>
    <xf numFmtId="0" fontId="4" fillId="2" borderId="1" xfId="2" applyFont="1" applyFill="1" applyBorder="1" applyAlignment="1">
      <alignment vertical="center"/>
    </xf>
  </cellXfs>
  <cellStyles count="3">
    <cellStyle name="Normale" xfId="0" builtinId="0"/>
    <cellStyle name="Normale 2" xfId="2"/>
    <cellStyle name="Normale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gaonline.fiat.com/s/PAT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file01\e&amp;d-planning\MORETTI\DIC96\PAT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ncom_x_si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Utenti%20Controllo%20Gestione\ppozzoli\FILES\REPORT%202002\AGPGIUGNO%20DEFINITIV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nw5-02\cmuc\SANDRI\CIVGEST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WINDOWS\TEMP\BUDGET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ardone\c\A&#241;o%202001\Forecast\F(10+2)\ale\Bud98\chapisteri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0f94\futuro%20ducat\X250%20Obiettivi%20Di%20Prodotto\Dimensioni\09-10-02\X25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WINDOWS/TEMP/e-grip/X250%20Obiettivi%20Di%20Prodotto/Dimensioni/09-10-02/X250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WINDOWS/TEMP/e-grip/X250%20Griglia%20Lavoro%20giugn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RENDFIN"/>
      <sheetName val="NA 2030 LTP Fev-2022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FIAT"/>
      <sheetName val="ECON"/>
      <sheetName val="MPL 技連"/>
      <sheetName val="342E BLOCK"/>
      <sheetName val="foglio"/>
      <sheetName val="Other R&amp;O"/>
      <sheetName val="RENDFIN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ECOLOGIA"/>
      <sheetName val="Car_Div"/>
      <sheetName val="support"/>
      <sheetName val="SCENARIO-YEAR"/>
      <sheetName val="Invetment-Tangibles-INR"/>
      <sheetName val="7.Patr"/>
      <sheetName val="4-Highlights"/>
      <sheetName val="Marea_MY"/>
      <sheetName val="Brava-o_MY"/>
      <sheetName val="P_TO"/>
      <sheetName val="MPL_技連"/>
      <sheetName val="342E_BLOCK"/>
      <sheetName val="Other_R&amp;O"/>
      <sheetName val="Copertina"/>
      <sheetName val="Etichette"/>
      <sheetName val="MAR99"/>
      <sheetName val="Gest 02"/>
      <sheetName val="Gest"/>
      <sheetName val="Report"/>
      <sheetName val="GRÁF. FGA BR+AR"/>
      <sheetName val="Tendina"/>
      <sheetName val="SCA - Extended causal"/>
      <sheetName val="$80HONDA"/>
      <sheetName val="Anagrafiche"/>
      <sheetName val="asset types"/>
      <sheetName val="Sheet1"/>
      <sheetName val="Sheet2"/>
      <sheetName val="Foglio2"/>
      <sheetName val="M"/>
      <sheetName val="Other_R&amp;O1"/>
      <sheetName val="MPL_技連1"/>
      <sheetName val="342E_BLOCK1"/>
      <sheetName val="Marea_MY1"/>
      <sheetName val="Brava-o_MY1"/>
      <sheetName val="P_TO1"/>
      <sheetName val="7_Patr"/>
      <sheetName val="Gest_02"/>
      <sheetName val="GRÁF__FGA_BR+AR"/>
      <sheetName val="SCA_-_Extended_causal"/>
      <sheetName val="developer"/>
      <sheetName val="data"/>
      <sheetName val="Info."/>
      <sheetName val="Drop Down Lists"/>
      <sheetName val="Plan2"/>
      <sheetName val="TempData"/>
      <sheetName val="Do not touch!"/>
      <sheetName val="NOE Graph"/>
      <sheetName val="LISTA MACRO VOICES"/>
      <sheetName val="LISTA RISKS&amp;OPPS"/>
      <sheetName val="Bases"/>
      <sheetName val="RESUME FY"/>
      <sheetName val="Dados"/>
      <sheetName val="Template "/>
      <sheetName val="VARIABILI"/>
      <sheetName val="VARIABLES"/>
      <sheetName val="Legend"/>
      <sheetName val="data validation"/>
      <sheetName val="KPI"/>
      <sheetName val="Tabella"/>
      <sheetName val="Data base"/>
      <sheetName val="Indices"/>
      <sheetName val="Índice"/>
      <sheetName val="Índices"/>
      <sheetName val="LISTA"/>
      <sheetName val="BICEEPR"/>
      <sheetName val="Tools"/>
      <sheetName val="Control Panel"/>
      <sheetName val="FP&amp;A (2)"/>
      <sheetName val="FP&amp;A FY"/>
      <sheetName val="RIPARTIZIONE STANZIATO DELEGATE"/>
      <sheetName val="2017"/>
      <sheetName val="2018"/>
      <sheetName val="2019"/>
      <sheetName val="2020"/>
      <sheetName val="Data resource"/>
      <sheetName val="F5+7"/>
      <sheetName val="Japan-250"/>
      <sheetName val="Detalhe x WBS"/>
      <sheetName val="CLUSTERS"/>
      <sheetName val="Raw Materials"/>
      <sheetName val="Dropdowns"/>
      <sheetName val=""/>
      <sheetName val="Lista suspensa"/>
      <sheetName val="Reference"/>
      <sheetName val="Data Validity"/>
      <sheetName val="Dados_X1P"/>
      <sheetName val="Dados_Formulas"/>
      <sheetName val="Automatização"/>
      <sheetName val="Resumo"/>
      <sheetName val="Horas Padrão"/>
      <sheetName val="CRESPs"/>
      <sheetName val="7_Patr1"/>
      <sheetName val="Other_R&amp;O2"/>
      <sheetName val="MPL_技連2"/>
      <sheetName val="342E_BLOCK2"/>
      <sheetName val="Marea_MY2"/>
      <sheetName val="Brava-o_MY2"/>
      <sheetName val="P_TO2"/>
      <sheetName val="Info_"/>
      <sheetName val="GRÁF__FGA_BR+AR1"/>
      <sheetName val="SCA_-_Extended_causal1"/>
      <sheetName val="Gest_021"/>
      <sheetName val="NOE_Graph"/>
      <sheetName val="LISTA_MACRO_VOICES"/>
      <sheetName val="LISTA_RISKS&amp;OPPS"/>
      <sheetName val="RESUME_FY"/>
      <sheetName val="Template_"/>
      <sheetName val="Drop_Down_Lists"/>
      <sheetName val="data_validation"/>
      <sheetName val="asset_types"/>
      <sheetName val="Data_resource"/>
      <sheetName val="Control_Panel"/>
      <sheetName val="FP&amp;A_(2)"/>
      <sheetName val="FP&amp;A_FY"/>
      <sheetName val="RIPARTIZIONE_STANZIATO_DELEGATE"/>
      <sheetName val="condizione"/>
      <sheetName val="Summary_Details"/>
      <sheetName val="Fixed Fields Description"/>
      <sheetName val="2_Arg"/>
      <sheetName val="Sheet"/>
      <sheetName val="CLUSTER"/>
      <sheetName val="DATA LIST"/>
      <sheetName val="WorkShop_Projetos"/>
      <sheetName val="21CD"/>
      <sheetName val="Voz Matriz D"/>
      <sheetName val="Motivation"/>
      <sheetName val="Flags"/>
      <sheetName val="Legenda"/>
      <sheetName val="BUDG"/>
      <sheetName val="TITLE"/>
      <sheetName val="PREV-DIR"/>
      <sheetName val="Tarifas"/>
      <sheetName val="List master"/>
      <sheetName val="List master (6)"/>
      <sheetName val="Jeep - US Retail"/>
      <sheetName val="LISTA_CAT_VD"/>
      <sheetName val="Plan1"/>
      <sheetName val="Parâmetros"/>
      <sheetName val="VALIDATION"/>
      <sheetName val="DATOS"/>
      <sheetName val="CF"/>
      <sheetName val="Database"/>
      <sheetName val="Industrial"/>
      <sheetName val="Dados Gerais"/>
      <sheetName val="Standard Fields "/>
      <sheetName val="FIELDS"/>
      <sheetName val="Tipologia"/>
      <sheetName val="List"/>
      <sheetName val="Status Análise"/>
      <sheetName val="REBATE"/>
      <sheetName val="Taxa Linhas"/>
      <sheetName val="Base"/>
      <sheetName val="Classificações"/>
      <sheetName val="STX"/>
      <sheetName val="Charts"/>
      <sheetName val="Pull-Down Data"/>
      <sheetName val="IS F Y"/>
      <sheetName val="OP FY"/>
      <sheetName val="CONSOLIDADO n-1"/>
      <sheetName val="CONSOLIDADO"/>
      <sheetName val="Medium"/>
      <sheetName val="Inputs"/>
      <sheetName val="13 - KPI(2)"/>
      <sheetName val="Actual &amp; Achieved"/>
      <sheetName val="PO"/>
      <sheetName val="Param"/>
      <sheetName val="BL SUMMARY CHINA"/>
      <sheetName val="BANVAL"/>
      <sheetName val="MENSUAL"/>
      <sheetName val="Actuals"/>
      <sheetName val="CIV-GEST"/>
      <sheetName val="NORME Ins Dati"/>
      <sheetName val="Teksid Volumi"/>
      <sheetName val="Memo Giugno"/>
      <sheetName val="R05Y_DLDM"/>
      <sheetName val="Riepilogo Dett Max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Summary_Sheet"/>
      <sheetName val="Instructions"/>
      <sheetName val="Company Codes"/>
      <sheetName val="Control (in)"/>
      <sheetName val="SINTESI"/>
      <sheetName val="DCPR"/>
      <sheetName val="FH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PRE_BUDGET"/>
      <sheetName val="CREDITI SCADUTI 2000"/>
      <sheetName val="LIGHT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Extrap Model"/>
      <sheetName val="Pivotf3+9_vc"/>
      <sheetName val="Pivotf3+9_vc_it"/>
      <sheetName val="Pivotf3+9"/>
      <sheetName val="Pivotf3+9_it"/>
      <sheetName val="Fatturato Rag1 2002"/>
      <sheetName val="NORME"/>
      <sheetName val="Forecast 1"/>
      <sheetName val="Forecast 2"/>
      <sheetName val="Forecast 3"/>
      <sheetName val="Forecast 4"/>
      <sheetName val="FRANCIA CIN MESE"/>
      <sheetName val="RO Graf"/>
      <sheetName val="Budget 2002 MM"/>
      <sheetName val="FX EUR"/>
      <sheetName val="DRIVELINEINVENT"/>
      <sheetName val="tutti"/>
      <sheetName val="fkp"/>
      <sheetName val="Extras!"/>
      <sheetName val="Macro2"/>
      <sheetName val="Dati di mercato"/>
      <sheetName val="Memo Marzo"/>
      <sheetName val="Gross Profit"/>
      <sheetName val="CL2"/>
      <sheetName val="Suma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Set-up"/>
      <sheetName val="GEO"/>
      <sheetName val="sysWorkbook"/>
      <sheetName val="Dati Forecast"/>
      <sheetName val="Calcoli_FwD"/>
      <sheetName val="Macro1"/>
      <sheetName val="Servco_LIM"/>
      <sheetName val="AMMORTAMENTI CESPITI DA TARGARE"/>
      <sheetName val="Tdata"/>
      <sheetName val="Titoli"/>
      <sheetName val="Nameplates"/>
      <sheetName val="date modif"/>
      <sheetName val="PRESidi"/>
      <sheetName val="Cons_p_6m"/>
      <sheetName val="Mercati&gt;6"/>
      <sheetName val="Obt_a_6m"/>
      <sheetName val="Monthly Group NWC (2)"/>
      <sheetName val="ER - QoE table"/>
      <sheetName val="Orderbook covg"/>
      <sheetName val="RICAVISystems"/>
      <sheetName val="pomocniczy"/>
      <sheetName val="MMFASH"/>
      <sheetName val="Drop down"/>
      <sheetName val="Base_DePAra"/>
      <sheetName val="Listas"/>
      <sheetName val="7_Patr2"/>
      <sheetName val="Other_R&amp;O3"/>
      <sheetName val="MPL_技連3"/>
      <sheetName val="342E_BLOCK3"/>
      <sheetName val="Marea_MY3"/>
      <sheetName val="Brava-o_MY3"/>
      <sheetName val="P_TO3"/>
      <sheetName val="GRÁF__FGA_BR+AR2"/>
      <sheetName val="SCA_-_Extended_causal2"/>
      <sheetName val="Gest_022"/>
      <sheetName val="Info_1"/>
      <sheetName val="LISTA_MACRO_VOICES1"/>
      <sheetName val="LISTA_RISKS&amp;OPPS1"/>
      <sheetName val="RESUME_FY1"/>
      <sheetName val="NOE_Graph1"/>
      <sheetName val="Template_1"/>
      <sheetName val="Drop_Down_Lists1"/>
      <sheetName val="data_validation1"/>
      <sheetName val="asset_types1"/>
      <sheetName val="Data_resource1"/>
      <sheetName val="Control_Panel1"/>
      <sheetName val="FP&amp;A_(2)1"/>
      <sheetName val="FP&amp;A_FY1"/>
      <sheetName val="RIPARTIZIONE_STANZIATO_DELEGAT1"/>
      <sheetName val="Raw_Materials"/>
      <sheetName val="Data_Validity"/>
      <sheetName val="Fixed_Fields_Description"/>
      <sheetName val="Lista_suspensa"/>
      <sheetName val="Standard_Fields_"/>
      <sheetName val="13_-_KPI(2)"/>
      <sheetName val="Actual_&amp;_Achieved"/>
      <sheetName val="BL_SUMMARY_CHINA"/>
      <sheetName val="NORME_Ins_Dati"/>
      <sheetName val="Teksid_Volumi"/>
      <sheetName val="Memo_Giugno"/>
      <sheetName val="Riepilogo_Dett_Max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RO_Graf"/>
      <sheetName val="OP_FY"/>
      <sheetName val="Budget_2002_MM"/>
      <sheetName val="FX_EUR"/>
      <sheetName val="IS_F_Y"/>
      <sheetName val="Dati_di_mercato"/>
      <sheetName val="Memo_Marzo"/>
      <sheetName val="Gross_Profit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CONSOLIDADO_n-1"/>
      <sheetName val="Pull-Down_Data"/>
      <sheetName val="7_Patr3"/>
      <sheetName val="Other_R&amp;O4"/>
      <sheetName val="MPL_技連4"/>
      <sheetName val="342E_BLOCK4"/>
      <sheetName val="Marea_MY4"/>
      <sheetName val="Brava-o_MY4"/>
      <sheetName val="P_TO4"/>
      <sheetName val="GRÁF__FGA_BR+AR3"/>
      <sheetName val="SCA_-_Extended_causal3"/>
      <sheetName val="Gest_023"/>
      <sheetName val="Info_2"/>
      <sheetName val="LISTA_MACRO_VOICES2"/>
      <sheetName val="LISTA_RISKS&amp;OPPS2"/>
      <sheetName val="RESUME_FY2"/>
      <sheetName val="NOE_Graph2"/>
      <sheetName val="Template_2"/>
      <sheetName val="Drop_Down_Lists2"/>
      <sheetName val="data_validation2"/>
      <sheetName val="asset_types2"/>
      <sheetName val="Data_resource2"/>
      <sheetName val="Control_Panel2"/>
      <sheetName val="FP&amp;A_(2)2"/>
      <sheetName val="FP&amp;A_FY2"/>
      <sheetName val="RIPARTIZIONE_STANZIATO_DELEGAT2"/>
      <sheetName val="Raw_Materials1"/>
      <sheetName val="Data_Validity1"/>
      <sheetName val="Fixed_Fields_Description1"/>
      <sheetName val="Lista_suspensa1"/>
      <sheetName val="Standard_Fields_1"/>
      <sheetName val="13_-_KPI(2)1"/>
      <sheetName val="Actual_&amp;_Achieved1"/>
      <sheetName val="BL_SUMMARY_CHINA1"/>
      <sheetName val="NORME_Ins_Dati1"/>
      <sheetName val="Teksid_Volumi1"/>
      <sheetName val="Memo_Giugno1"/>
      <sheetName val="Riepilogo_Dett_Max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RO_Graf1"/>
      <sheetName val="OP_FY1"/>
      <sheetName val="Budget_2002_MM1"/>
      <sheetName val="FX_EUR1"/>
      <sheetName val="IS_F_Y1"/>
      <sheetName val="Dati_di_mercato1"/>
      <sheetName val="Memo_Marzo1"/>
      <sheetName val="Gross_Profit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CONSOLIDADO_n-11"/>
      <sheetName val="Pull-Down_Data1"/>
      <sheetName val="LIST OF COMPANIES"/>
      <sheetName val="COVER"/>
      <sheetName val="ITALIA"/>
      <sheetName val="parametri"/>
      <sheetName val="PREV_RICAVI"/>
      <sheetName val="12 - KPI(1)"/>
      <sheetName val="Commodity"/>
      <sheetName val="Plants"/>
      <sheetName val="Dados de entrada"/>
      <sheetName val="Summary"/>
      <sheetName val="Plan5 (1)"/>
      <sheetName val="4-SA Top5 by MF"/>
      <sheetName val="Monthly"/>
      <sheetName val="MPL_技連5"/>
      <sheetName val="342E_BLOCK5"/>
      <sheetName val="Other_R&amp;O5"/>
      <sheetName val="Marea_MY5"/>
      <sheetName val="Brava-o_MY5"/>
      <sheetName val="P_TO5"/>
      <sheetName val="7_Patr4"/>
      <sheetName val="Gest_024"/>
      <sheetName val="GRÁF__FGA_BR+AR4"/>
      <sheetName val="SCA_-_Extended_causal4"/>
      <sheetName val="asset_types3"/>
      <sheetName val="Info_3"/>
      <sheetName val="Drop_Down_Lists3"/>
      <sheetName val="Do_not_touch!"/>
      <sheetName val="NOE_Graph3"/>
      <sheetName val="Template_3"/>
      <sheetName val="LISTA_MACRO_VOICES3"/>
      <sheetName val="LISTA_RISKS&amp;OPPS3"/>
      <sheetName val="RESUME_FY3"/>
      <sheetName val="Data_base"/>
      <sheetName val="data_validation3"/>
      <sheetName val="Control_Panel3"/>
      <sheetName val="FP&amp;A_(2)3"/>
      <sheetName val="FP&amp;A_FY3"/>
      <sheetName val="RIPARTIZIONE_STANZIATO_DELEGAT3"/>
      <sheetName val="Data_resource3"/>
      <sheetName val="Detalhe_x_WBS"/>
      <sheetName val="Raw_Materials2"/>
      <sheetName val="Lista_suspensa2"/>
      <sheetName val="Data_Validity2"/>
      <sheetName val="Horas_Padrão"/>
      <sheetName val="Fixed_Fields_Description2"/>
      <sheetName val="DATA_LIST"/>
      <sheetName val="Voz_Matriz_D"/>
      <sheetName val="List_master"/>
      <sheetName val="List_master_(6)"/>
      <sheetName val="Jeep_-_US_Retail"/>
      <sheetName val="Dados_Gerais"/>
      <sheetName val="Standard_Fields_2"/>
      <sheetName val="Status_Análise"/>
      <sheetName val="Taxa_Linhas"/>
      <sheetName val="Pull-Down_Data2"/>
      <sheetName val="IS_F_Y2"/>
      <sheetName val="OP_FY2"/>
      <sheetName val="CONSOLIDADO_n-12"/>
      <sheetName val="13_-_KPI(2)2"/>
      <sheetName val="Actual_&amp;_Achieved2"/>
      <sheetName val="BL_SUMMARY_CHINA2"/>
      <sheetName val="NORME_Ins_Dati2"/>
      <sheetName val="Teksid_Volumi2"/>
      <sheetName val="Memo_Giugno2"/>
      <sheetName val="Riepilogo_Dett_Max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RO_Graf2"/>
      <sheetName val="Budget_2002_MM2"/>
      <sheetName val="FX_EUR2"/>
      <sheetName val="Dati_di_mercato2"/>
      <sheetName val="Memo_Marzo2"/>
      <sheetName val="Gross_Profit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Drop_down"/>
      <sheetName val="LIST_OF_COMPANIES"/>
      <sheetName val="12_-_KPI(1)"/>
      <sheetName val="Dados_de_entrada"/>
      <sheetName val="CAP FCST SUM-GMNA"/>
      <sheetName val="datitend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ODE SINCOM"/>
      <sheetName val="1° LEVEL SINCOM"/>
      <sheetName val="2° LEVEL SINCOM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PGIUGNO DEFINITIVO"/>
      <sheetName val="date modif"/>
      <sheetName val="STABILIM D.R."/>
      <sheetName val="MAR99"/>
      <sheetName val="estraz.apert.2002"/>
      <sheetName val="previsliquidato202"/>
      <sheetName val="LIGHT"/>
      <sheetName val="HEAVY"/>
      <sheetName val="#RIF"/>
      <sheetName val="AMMORTAMENTI CESPITI DA TARGARE"/>
      <sheetName val="INCOME STATEMENT "/>
      <sheetName val="COMMERCIAL PERFORMANCE"/>
      <sheetName val="AGP"/>
      <sheetName val="Prodotto-ASTRA"/>
      <sheetName val="Foglio1"/>
      <sheetName val="_RIF"/>
      <sheetName val="FIAT"/>
      <sheetName val="MPL 技連"/>
      <sheetName val="342E BLOCK"/>
      <sheetName val="IS F Y"/>
      <sheetName val="OP FY"/>
      <sheetName val="Turkey PGP"/>
      <sheetName val="AGPGIUGNO%20DEFINITIVO.xls"/>
      <sheetName val="Copertina"/>
      <sheetName val="Actual &amp; Achieved"/>
      <sheetName val="AGPGIUGNO_DEFINITIVO"/>
      <sheetName val="date_modif"/>
      <sheetName val="STABILIM_D_R_"/>
      <sheetName val="estraz_apert_2002"/>
      <sheetName val="AMMORTAMENTI_CESPITI_DA_TARGARE"/>
      <sheetName val="INCOME_STATEMENT_"/>
      <sheetName val="COMMERCIAL_PERFORMANCE"/>
      <sheetName val="MPL_技連"/>
      <sheetName val="342E_BLOCK"/>
      <sheetName val="IS_F_Y"/>
      <sheetName val="OP_FY"/>
      <sheetName val="Turkey_PGP"/>
      <sheetName val="AGPGIUGNO%20DEFINITIVO_xls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62007İ"/>
      <sheetName val="AGPGIUGNO_DEFINITIVO1"/>
      <sheetName val="date_modif1"/>
      <sheetName val="STABILIM_D_R_1"/>
      <sheetName val="estraz_apert_20021"/>
      <sheetName val="AMMORTAMENTI_CESPITI_DA_TARGAR1"/>
      <sheetName val="INCOME_STATEMENT_1"/>
      <sheetName val="COMMERCIAL_PERFORMANCE1"/>
      <sheetName val="MPL_技連1"/>
      <sheetName val="342E_BLOCK1"/>
      <sheetName val="Actual_&amp;_Achieved"/>
      <sheetName val="Anagrafica"/>
      <sheetName val="PRINCIPALE"/>
      <sheetName val="Foglio2"/>
      <sheetName val="appoggio"/>
      <sheetName val="G773 - Junho"/>
      <sheetName val="CE"/>
      <sheetName val="Exchange Rates"/>
      <sheetName val="Sheet1"/>
      <sheetName val="Pay to shareholder"/>
      <sheetName val="RULES"/>
      <sheetName val="81"/>
      <sheetName val="Data_Validation_sheet"/>
      <sheetName val="Menu tendina"/>
      <sheetName val="MTD TIV Chart - Tractors"/>
      <sheetName val="GTR"/>
      <sheetName val="Root Causes"/>
      <sheetName val="Hourly Rate"/>
      <sheetName val="ValidationData"/>
      <sheetName val="Sheet2"/>
      <sheetName val="Tabela"/>
      <sheetName val="drop down"/>
      <sheetName val="STX"/>
      <sheetName val="Modelo"/>
      <sheetName val=""/>
      <sheetName val="Datas"/>
      <sheetName val="Abril"/>
      <sheetName val="List"/>
      <sheetName val="REFERENCES"/>
      <sheetName val="AGPGIUGNO_DEFINITIVO2"/>
      <sheetName val="PERIMETRO"/>
      <sheetName val="GA-5230-17_VAVE 2017"/>
      <sheetName val="BASE1"/>
      <sheetName val="AGPGIUGNO_DEFINITIVO3"/>
      <sheetName val="date_modif2"/>
      <sheetName val="STABILIM_D_R_2"/>
      <sheetName val="estraz_apert_20022"/>
      <sheetName val="AMMORTAMENTI_CESPITI_DA_TARGAR2"/>
      <sheetName val="INCOME_STATEMENT_2"/>
      <sheetName val="COMMERCIAL_PERFORMANCE2"/>
      <sheetName val="MPL_技連2"/>
      <sheetName val="342E_BLOCK2"/>
      <sheetName val="IS_F_Y1"/>
      <sheetName val="OP_FY1"/>
      <sheetName val="Actual_&amp;_Achieved1"/>
      <sheetName val="Turkey_PGP1"/>
      <sheetName val="AGPGIUGNO%20DEFINITIVO_xls1"/>
      <sheetName val="Marea_MY"/>
      <sheetName val="Brava-o_MY"/>
      <sheetName val="P_TO"/>
      <sheetName val="G773_-_Junho"/>
      <sheetName val="Pay_to_shareholder"/>
      <sheetName val="Exchange_Rates"/>
      <sheetName val="Menu_tendina"/>
      <sheetName val="MTD_TIV_Chart_-_Tractors"/>
      <sheetName val="Root_Causes"/>
      <sheetName val="drop_down"/>
      <sheetName val="Hourly_Rate"/>
      <sheetName val="Kaizen List Total"/>
      <sheetName val="Line&amp;station"/>
      <sheetName val="category"/>
      <sheetName val="Listy"/>
      <sheetName val="TABLE"/>
      <sheetName val="Automatização"/>
      <sheetName val="RAZAO SEM SALDO"/>
      <sheetName val="RAZÃO GERAL"/>
      <sheetName val="CONCILIAÇÃO DIVISAO"/>
      <sheetName val="Pendencias"/>
      <sheetName val="Summ"/>
      <sheetName val="Help"/>
      <sheetName val="Target"/>
      <sheetName val="Risk Clasification"/>
      <sheetName val="FH"/>
      <sheetName val="Cover"/>
      <sheetName val="Pivot_bdg_vc"/>
      <sheetName val="Pivot_bdg_vett"/>
      <sheetName val="RAZAO GERAL"/>
      <sheetName val="CONCILIAÇÃO DIVISÃO"/>
      <sheetName val="Plan3"/>
      <sheetName val="RELATORIOS"/>
      <sheetName val="Months"/>
      <sheetName val="fluxo de caixa"/>
      <sheetName val="R.O.2"/>
      <sheetName val="FATT"/>
      <sheetName val="conv"/>
      <sheetName val="ORIGINE_DATI"/>
      <sheetName val="AGPGIUGNO_DEFINITIVO4"/>
      <sheetName val="date_modif3"/>
      <sheetName val="STABILIM_D_R_3"/>
      <sheetName val="estraz_apert_20023"/>
      <sheetName val="AMMORTAMENTI_CESPITI_DA_TARGAR3"/>
      <sheetName val="INCOME_STATEMENT_3"/>
      <sheetName val="COMMERCIAL_PERFORMANCE3"/>
      <sheetName val="MPL_技連3"/>
      <sheetName val="342E_BLOCK3"/>
      <sheetName val="IS_F_Y2"/>
      <sheetName val="OP_FY2"/>
      <sheetName val="Turkey_PGP2"/>
      <sheetName val="AGPGIUGNO%20DEFINITIVO_xls2"/>
      <sheetName val="Actual_&amp;_Achieved2"/>
      <sheetName val="Marea_MY1"/>
      <sheetName val="Brava-o_MY1"/>
      <sheetName val="P_TO1"/>
      <sheetName val="G773_-_Junho1"/>
      <sheetName val="Exchange_Rates1"/>
      <sheetName val="Pay_to_shareholder1"/>
      <sheetName val="Menu_tendina1"/>
      <sheetName val="MTD_TIV_Chart_-_Tractors1"/>
      <sheetName val="Root_Causes1"/>
      <sheetName val="Hourly_Rate1"/>
      <sheetName val="drop_down1"/>
      <sheetName val="GA-5230-17_VAVE_2017"/>
      <sheetName val="Dati Actual-Prevision"/>
      <sheetName val="Dati Budget"/>
      <sheetName val="Dati Forecast"/>
      <sheetName val="APV- GM (Revisado)"/>
      <sheetName val="Suma"/>
      <sheetName val="Lista"/>
      <sheetName val="IND RoIC &amp; ROA"/>
      <sheetName val="ECOLOGIA"/>
      <sheetName val="Kaizen_List_Total"/>
      <sheetName val="RAZAO_SEM_SALDO"/>
      <sheetName val="RAZÃO_GERAL"/>
      <sheetName val="CONCILIAÇÃO_DIVISAO"/>
      <sheetName val="Risk_Clasification"/>
      <sheetName val="RAZAO_GERAL"/>
      <sheetName val="CONCILIAÇÃO_DIVISÃO"/>
      <sheetName val="R_O_2"/>
      <sheetName val="fluxo_de_caixa"/>
      <sheetName val="Dati_Actual-Prevision"/>
      <sheetName val="Dati_Budget"/>
      <sheetName val="Dati_Forecast"/>
      <sheetName val="APV-_GM_(Revisado)"/>
      <sheetName val="MASTER DATA PRODUCT"/>
      <sheetName val="#REF"/>
      <sheetName val="TREND STOCK"/>
      <sheetName val="CEX 994 détaillé (bud)"/>
      <sheetName val="11"/>
      <sheetName val="Capex dec YTD"/>
      <sheetName val="CONVERT"/>
      <sheetName val="MULTIPLA"/>
      <sheetName val="VARIABLES"/>
      <sheetName val="Medium"/>
      <sheetName val="indicateurs ISO"/>
      <sheetName val="reporting mensuel 2005"/>
      <sheetName val="garanties et parc à 5 ans"/>
      <sheetName val="Graphique"/>
      <sheetName val="Setting"/>
      <sheetName val="Legenda Energy"/>
      <sheetName val="Legenda"/>
      <sheetName val="Legend"/>
      <sheetName val="Total Cost Input"/>
      <sheetName val="TREND_STOCK"/>
      <sheetName val="CEX_994_détaillé_(bud)"/>
      <sheetName val="Capex_dec_YTD"/>
      <sheetName val="indicateurs_ISO"/>
      <sheetName val="reporting_mensuel_2005"/>
      <sheetName val="garanties_et_parc_à_5_ans"/>
      <sheetName val="Legenda_Energy"/>
      <sheetName val="FY02"/>
      <sheetName val="사양조정"/>
      <sheetName val="TREND_STOCK1"/>
      <sheetName val="CEX_994_détaillé_(bud)1"/>
      <sheetName val="Capex_dec_YTD1"/>
      <sheetName val="indicateurs_ISO1"/>
      <sheetName val="reporting_mensuel_20051"/>
      <sheetName val="garanties_et_parc_à_5_ans1"/>
      <sheetName val="Legenda_Energy1"/>
      <sheetName val="Total_Cost_Input"/>
      <sheetName val="IND_RoIC_&amp;_ROA"/>
      <sheetName val="MASTER_DATA_PRODUCT"/>
      <sheetName val="ORE2003"/>
      <sheetName val="Matrix"/>
      <sheetName val="12 - KPI(1)"/>
      <sheetName val="Dati"/>
      <sheetName val="Choosing lists"/>
      <sheetName val="Feb"/>
      <sheetName val="현금경비중역"/>
      <sheetName val="MappaNGR"/>
      <sheetName val="AGPGIUGNO_DEFINITIVO5"/>
      <sheetName val="date_modif4"/>
      <sheetName val="STABILIM_D_R_4"/>
      <sheetName val="estraz_apert_20024"/>
      <sheetName val="AMMORTAMENTI_CESPITI_DA_TARGAR4"/>
      <sheetName val="INCOME_STATEMENT_4"/>
      <sheetName val="COMMERCIAL_PERFORMANCE4"/>
      <sheetName val="MPL_技連4"/>
      <sheetName val="342E_BLOCK4"/>
      <sheetName val="IS_F_Y3"/>
      <sheetName val="OP_FY3"/>
      <sheetName val="Turkey_PGP3"/>
      <sheetName val="AGPGIUGNO%20DEFINITIVO_xls3"/>
      <sheetName val="Actual_&amp;_Achieved3"/>
      <sheetName val="Marea_MY2"/>
      <sheetName val="Brava-o_MY2"/>
      <sheetName val="P_TO2"/>
      <sheetName val="G773_-_Junho2"/>
      <sheetName val="Exchange_Rates2"/>
      <sheetName val="Pay_to_shareholder2"/>
      <sheetName val="Menu_tendina2"/>
      <sheetName val="MTD_TIV_Chart_-_Tractors2"/>
      <sheetName val="Root_Causes2"/>
      <sheetName val="drop_down2"/>
      <sheetName val="Hourly_Rate2"/>
      <sheetName val="GA-5230-17_VAVE_20171"/>
      <sheetName val=" FICHE VN"/>
      <sheetName val="9 Colunas"/>
      <sheetName val="sumold"/>
      <sheetName val="MPL 技連:342E BLOCK"/>
      <sheetName val="Anagrafica società"/>
      <sheetName val="Altre anagrafiche"/>
      <sheetName val="AGPGIUGNO_DEFINITIVO6"/>
      <sheetName val="date_modif5"/>
      <sheetName val="STABILIM_D_R_5"/>
      <sheetName val="estraz_apert_20025"/>
      <sheetName val="AMMORTAMENTI_CESPITI_DA_TARGAR5"/>
      <sheetName val="INCOME_STATEMENT_5"/>
      <sheetName val="COMMERCIAL_PERFORMANCE5"/>
      <sheetName val="MPL_技連5"/>
      <sheetName val="342E_BLOCK5"/>
      <sheetName val="IS_F_Y4"/>
      <sheetName val="OP_FY4"/>
      <sheetName val="Actual_&amp;_Achieved4"/>
      <sheetName val="Turkey_PGP4"/>
      <sheetName val="AGPGIUGNO%20DEFINITIVO_xls4"/>
      <sheetName val="Marea_MY3"/>
      <sheetName val="Brava-o_MY3"/>
      <sheetName val="P_TO3"/>
      <sheetName val="G773_-_Junho3"/>
      <sheetName val="Exchange_Rates3"/>
      <sheetName val="Pay_to_shareholder3"/>
      <sheetName val="Menu_tendina3"/>
      <sheetName val="MTD_TIV_Chart_-_Tractors3"/>
      <sheetName val="drop_down3"/>
      <sheetName val="Hourly_Rate3"/>
      <sheetName val="Root_Causes3"/>
      <sheetName val="Kaizen_List_Total1"/>
      <sheetName val="GA-5230-17_VAVE_20172"/>
      <sheetName val="RAZAO_SEM_SALDO1"/>
      <sheetName val="RAZÃO_GERAL1"/>
      <sheetName val="CONCILIAÇÃO_DIVISAO1"/>
      <sheetName val="Risk_Clasification1"/>
      <sheetName val="RAZAO_GERAL1"/>
      <sheetName val="CONCILIAÇÃO_DIVISÃO1"/>
      <sheetName val="fluxo_de_caixa1"/>
      <sheetName val="R_O_21"/>
      <sheetName val="Dati_Actual-Prevision1"/>
      <sheetName val="Dati_Budget1"/>
      <sheetName val="Dati_Forecast1"/>
      <sheetName val="APV-_GM_(Revisado)1"/>
      <sheetName val="IND_RoIC_&amp;_ROA1"/>
      <sheetName val="MASTER_DATA_PRODUCT1"/>
      <sheetName val="TREND_STOCK2"/>
      <sheetName val="CEX_994_détaillé_(bud)2"/>
      <sheetName val="Capex_dec_YTD2"/>
      <sheetName val="indicateurs_ISO2"/>
      <sheetName val="reporting_mensuel_20052"/>
      <sheetName val="garanties_et_parc_à_5_ans2"/>
      <sheetName val="Legenda_Energy2"/>
      <sheetName val="Total_Cost_Input1"/>
      <sheetName val="12_-_KPI(1)"/>
      <sheetName val="Choosing_lists"/>
      <sheetName val="9_Colunas"/>
      <sheetName val="Dados"/>
      <sheetName val="Sch1 - P&amp;L Summary"/>
      <sheetName val="Sch2 - BalSht Summary"/>
      <sheetName val="Sch3 - CFlow Summary"/>
      <sheetName val="Setup"/>
      <sheetName val="Tables"/>
      <sheetName val="source"/>
      <sheetName val="CIV-GEST"/>
      <sheetName val="FdoSval"/>
      <sheetName val="Imposte"/>
      <sheetName val="TAX3"/>
      <sheetName val="TAX1"/>
      <sheetName val="TAX2"/>
      <sheetName val="TAX4"/>
      <sheetName val="C60"/>
      <sheetName val="Articoli (2)"/>
      <sheetName val="Articoli"/>
      <sheetName val="Part"/>
      <sheetName val="RicPN"/>
      <sheetName val="PN-Civ"/>
      <sheetName val="PN-Civ (2)"/>
      <sheetName val="PN-Gest"/>
      <sheetName val="X-Y"/>
      <sheetName val="STAXCOM"/>
      <sheetName val="RENDFIN"/>
      <sheetName val="CIVGEST1"/>
      <sheetName val="ZWBP s amm "/>
      <sheetName val="VALIDACAO"/>
      <sheetName val="Resumo_244.K23"/>
      <sheetName val="Articoli_(2)"/>
      <sheetName val="PN-Civ_(2)"/>
      <sheetName val="GRÁF. FGA BR+AR"/>
      <sheetName val="Engineers"/>
      <sheetName val="Articoli_(2)1"/>
      <sheetName val="PN-Civ_(2)1"/>
      <sheetName val="ZWBP_s_amm_"/>
      <sheetName val="Resumo_244_K23"/>
      <sheetName val="GRÁF__FGA_BR+AR"/>
      <sheetName val="Settings"/>
      <sheetName val="CIVGEST1.XLS"/>
      <sheetName val="SINCOM"/>
      <sheetName val="CIVGEST1_XLS"/>
      <sheetName val="Engine"/>
      <sheetName val="Raw Ratings"/>
      <sheetName val="Kontrollen"/>
      <sheetName val="_x005f_x0000_"/>
      <sheetName val="Plan2"/>
      <sheetName val="Cluster"/>
      <sheetName val="Drop Down Lists"/>
      <sheetName val="DataVal"/>
      <sheetName val="Support"/>
      <sheetName val="Tech"/>
      <sheetName val="?"/>
      <sheetName val="[CIVGEST1.XLS绠ນ"/>
      <sheetName val="Import Dropdown"/>
      <sheetName val="Dati_ASS"/>
      <sheetName val="Admin"/>
      <sheetName val="FOGLIO DI BACKUP"/>
      <sheetName val="ECON"/>
      <sheetName val="DATA LIST"/>
      <sheetName val="tabs"/>
      <sheetName val="Motivation"/>
      <sheetName val="Data"/>
      <sheetName val="Compras"/>
      <sheetName val="46"/>
      <sheetName val="Hoja2"/>
      <sheetName val="Detalhe x WBS"/>
      <sheetName val="List master"/>
      <sheetName val="GA-5230-11_CQI 2017"/>
      <sheetName val="Downlist"/>
      <sheetName val="DB"/>
      <sheetName val="Articoli_(2)2"/>
      <sheetName val="PN-Civ_(2)2"/>
      <sheetName val="ZWBP_s_amm_1"/>
      <sheetName val="GRÁF__FGA_BR+AR1"/>
      <sheetName val="Resumo_244_K231"/>
      <sheetName val="CIVGEST1_XLS1"/>
      <sheetName val="Raw_Ratings"/>
      <sheetName val="Drop_Down_Lists"/>
      <sheetName val="[CIVGEST1_XLS绠ນ"/>
      <sheetName val="Import_Dropdown"/>
      <sheetName val="FOGLIO_DI_BACKUP"/>
      <sheetName val="DATA_LIST"/>
      <sheetName val="List_master"/>
      <sheetName val="Dimensions"/>
      <sheetName val="Chart EMEA TREND"/>
      <sheetName val="SubsystemList"/>
      <sheetName val="Centro de custo Control"/>
      <sheetName val="Class"/>
      <sheetName val="Zero Base Instruction"/>
      <sheetName val="Base"/>
      <sheetName val="Bloqueio"/>
      <sheetName val="Zero_Base_Instruction"/>
      <sheetName val="ASUM"/>
      <sheetName val="Backup"/>
      <sheetName val="MrHide"/>
      <sheetName val="ORIGINE_DATI (2)"/>
      <sheetName val="Articoli_(2)3"/>
      <sheetName val="PN-Civ_(2)3"/>
      <sheetName val="Resumo_244_K232"/>
      <sheetName val="ZWBP_s_amm_2"/>
      <sheetName val="GRÁF__FGA_BR+AR2"/>
      <sheetName val="CIVGEST1_XLS2"/>
      <sheetName val="Raw_Ratings1"/>
      <sheetName val="Drop_Down_Lists1"/>
      <sheetName val="Data_List1"/>
      <sheetName val="[CIVGEST1_XLS绠ນ1"/>
      <sheetName val="Import_Dropdown1"/>
      <sheetName val="FOGLIO_DI_BACKUP1"/>
      <sheetName val="List_master1"/>
      <sheetName val="Zero_Base_Instruction1"/>
      <sheetName val="Detalhe_x_WBS"/>
      <sheetName val="GA-5230-11_CQI_2017"/>
      <sheetName val="Chart_EMEA_TREND"/>
      <sheetName val="Articoli_(2)4"/>
      <sheetName val="PN-Civ_(2)4"/>
      <sheetName val="ZWBP_s_amm_3"/>
      <sheetName val="Resumo_244_K233"/>
      <sheetName val="GRÁF__FGA_BR+AR3"/>
      <sheetName val="CIVGEST1_XLS3"/>
      <sheetName val="Raw_Ratings2"/>
      <sheetName val="Drop_Down_Lists2"/>
      <sheetName val="Data_List2"/>
      <sheetName val="[CIVGEST1_XLS绠ນ2"/>
      <sheetName val="Import_Dropdown2"/>
      <sheetName val="FOGLIO_DI_BACKUP2"/>
      <sheetName val="List_master2"/>
      <sheetName val="Zero_Base_Instruction2"/>
      <sheetName val="Detalhe_x_WBS1"/>
      <sheetName val="GA-5230-11_CQI_20171"/>
      <sheetName val="Chart_EMEA_TREND1"/>
      <sheetName val="Dados Gerais"/>
      <sheetName val="SUPPORTO CURRENCY"/>
      <sheetName val="6 - SOCIETA"/>
      <sheetName val="Database"/>
      <sheetName val="Centro_de_custo_Control"/>
      <sheetName val="ORIGINE_DATI_(2)"/>
      <sheetName val="Dados_Gerais"/>
      <sheetName val="Directories"/>
      <sheetName val="????"/>
      <sheetName val="Raw material"/>
      <sheetName val="AGPGIUGNO_DEFINITIVO7"/>
      <sheetName val="date_modif6"/>
      <sheetName val="STABILIM_D_R_6"/>
      <sheetName val="estraz_apert_20026"/>
      <sheetName val="AMMORTAMENTI_CESPITI_DA_TARGAR6"/>
      <sheetName val="INCOME_STATEMENT_6"/>
      <sheetName val="COMMERCIAL_PERFORMANCE6"/>
      <sheetName val="MPL_技連6"/>
      <sheetName val="342E_BLOCK6"/>
      <sheetName val="IS_F_Y5"/>
      <sheetName val="OP_FY5"/>
      <sheetName val="Turkey_PGP5"/>
      <sheetName val="AGPGIUGNO%20DEFINITIVO_xls5"/>
      <sheetName val="Actual_&amp;_Achieved5"/>
      <sheetName val="Marea_MY4"/>
      <sheetName val="Brava-o_MY4"/>
      <sheetName val="P_TO4"/>
      <sheetName val="G773_-_Junho4"/>
      <sheetName val="Exchange_Rates4"/>
      <sheetName val="Pay_to_shareholder4"/>
      <sheetName val="Menu_tendina4"/>
      <sheetName val="MTD_TIV_Chart_-_Tractors4"/>
      <sheetName val="Root_Causes4"/>
      <sheetName val="Hourly_Rate4"/>
      <sheetName val="drop_down4"/>
      <sheetName val="GA-5230-17_VAVE_20173"/>
      <sheetName val="Kaizen_List_Total2"/>
      <sheetName val="RAZAO_SEM_SALDO2"/>
      <sheetName val="RAZÃO_GERAL2"/>
      <sheetName val="CONCILIAÇÃO_DIVISAO2"/>
      <sheetName val="Risk_Clasification2"/>
      <sheetName val="RAZAO_GERAL2"/>
      <sheetName val="CONCILIAÇÃO_DIVISÃO2"/>
      <sheetName val="fluxo_de_caixa2"/>
      <sheetName val="R_O_22"/>
      <sheetName val="Dati_Actual-Prevision2"/>
      <sheetName val="Dati_Budget2"/>
      <sheetName val="Dati_Forecast2"/>
      <sheetName val="APV-_GM_(Revisado)2"/>
      <sheetName val="ARJ"/>
      <sheetName val="Data.Ech.P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AT"/>
      <sheetName val="CIV-GEST"/>
      <sheetName val="FdoSval"/>
      <sheetName val="Imposte"/>
      <sheetName val="TAX3"/>
      <sheetName val="TAX1"/>
      <sheetName val="TAX2"/>
      <sheetName val="TAX4"/>
      <sheetName val="C60"/>
      <sheetName val="Articoli (2)"/>
      <sheetName val="Articoli"/>
      <sheetName val="Part"/>
      <sheetName val="RicPN"/>
      <sheetName val="PN-Civ"/>
      <sheetName val="PN-Civ (2)"/>
      <sheetName val="PN-Gest"/>
      <sheetName val="X-Y"/>
      <sheetName val="#RIF"/>
      <sheetName val="RENDFIN"/>
      <sheetName val="CIVGEST1"/>
      <sheetName val="STAXCOM"/>
      <sheetName val="_x0000_"/>
      <sheetName val="ZWBP s amm "/>
      <sheetName val="Turkey PGP"/>
      <sheetName val="CIVGEST1.XLS"/>
      <sheetName val="Resumo_244.K23"/>
      <sheetName val="IS F Y"/>
      <sheetName val="GRÁF. FGA BR+AR"/>
      <sheetName val="Articoli_(2)"/>
      <sheetName val="PN-Civ_(2)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SINCOM"/>
      <sheetName val=""/>
      <sheetName val="ZWBP_s_amm_"/>
      <sheetName val="Turkey_PGP"/>
      <sheetName val="CIVGEST1_XLS"/>
      <sheetName val="ULYSSE"/>
      <sheetName val="Engineers"/>
      <sheetName val="Articoli_(2)1"/>
      <sheetName val="PN-Civ_(2)1"/>
      <sheetName val="Resumo_244_K23"/>
      <sheetName val="GRÁF__FGA_BR+AR"/>
      <sheetName val="IS_F_Y"/>
      <sheetName val="Marea_MY"/>
      <sheetName val="Brava-o_MY"/>
      <sheetName val="P_TO"/>
      <sheetName val="Settings"/>
      <sheetName val="PRINCIPALE"/>
      <sheetName val="MAR99"/>
      <sheetName val="Engine"/>
      <sheetName val="Raw Ratings"/>
      <sheetName val="Kontrollen"/>
      <sheetName val="ORIGINE_DATI"/>
      <sheetName val="Cluster"/>
      <sheetName val="Legend"/>
      <sheetName val="VALIDACAO"/>
      <sheetName val="Sheet2"/>
      <sheetName val="_x005f_x0000_"/>
      <sheetName val="ECOLOGIA"/>
      <sheetName val="Exchange Rates"/>
      <sheetName val="Plan2"/>
      <sheetName val="DataVal"/>
      <sheetName val="Support"/>
      <sheetName val="Tech"/>
      <sheetName val="Drop Down Lists"/>
      <sheetName val="[CIVGEST1.XLS绠ນ"/>
      <sheetName val="Import Dropdown"/>
      <sheetName val="?"/>
      <sheetName val="Sheet1"/>
      <sheetName val="Admin"/>
      <sheetName val="FOGLIO DI BACKUP"/>
      <sheetName val="drop down"/>
      <sheetName val="ECON"/>
      <sheetName val="DATA LIST"/>
      <sheetName val="Dati_ASS"/>
      <sheetName val="tabs"/>
      <sheetName val="Motivation"/>
      <sheetName val="Compras"/>
      <sheetName val="Data"/>
      <sheetName val="Foglio2"/>
      <sheetName val="46"/>
      <sheetName val="TABLE"/>
      <sheetName val="Detalhe x WBS"/>
      <sheetName val="List master"/>
      <sheetName val="SubsystemList"/>
      <sheetName val="CONVERT"/>
      <sheetName val="GA-5230-11_CQI 2017"/>
      <sheetName val="Downlist"/>
      <sheetName val="Chart EMEA TREND"/>
      <sheetName val="DB"/>
      <sheetName val="Dimensions"/>
      <sheetName val="Articoli_(2)2"/>
      <sheetName val="PN-Civ_(2)2"/>
      <sheetName val="ZWBP_s_amm_1"/>
      <sheetName val="GRÁF__FGA_BR+AR1"/>
      <sheetName val="Resumo_244_K231"/>
      <sheetName val="IS_F_Y1"/>
      <sheetName val="Turkey_PGP1"/>
      <sheetName val="CIVGEST1_XLS1"/>
      <sheetName val="Raw_Ratings"/>
      <sheetName val="Marea_MY1"/>
      <sheetName val="Brava-o_MY1"/>
      <sheetName val="P_TO1"/>
      <sheetName val="Exchange_Rates"/>
      <sheetName val="Drop_Down_Lists"/>
      <sheetName val="[CIVGEST1_XLS绠ນ"/>
      <sheetName val="Import_Dropdown"/>
      <sheetName val="FOGLIO_DI_BACKUP"/>
      <sheetName val="drop_down"/>
      <sheetName val="DATA_LIST"/>
      <sheetName val="List_master"/>
      <sheetName val="Class"/>
      <sheetName val="Zero Base Instruction"/>
      <sheetName val="Base"/>
      <sheetName val="Zero_Base_Instruction"/>
      <sheetName val="Hoja2"/>
      <sheetName val="Bloqueio"/>
      <sheetName val="Centro de custo Control"/>
      <sheetName val="Backup"/>
      <sheetName val="ORIGINE_DATI (2)"/>
      <sheetName val="ASUM"/>
      <sheetName val="SUPPORTO CURRENCY"/>
      <sheetName val="Directories"/>
      <sheetName val="Articoli_(2)3"/>
      <sheetName val="PN-Civ_(2)3"/>
      <sheetName val="ZWBP_s_amm_2"/>
      <sheetName val="Turkey_PGP2"/>
      <sheetName val="CIVGEST1_XLS2"/>
      <sheetName val="Resumo_244_K232"/>
      <sheetName val="IS_F_Y2"/>
      <sheetName val="GRÁF__FGA_BR+AR2"/>
      <sheetName val="Marea_MY2"/>
      <sheetName val="Brava-o_MY2"/>
      <sheetName val="P_TO2"/>
      <sheetName val="Raw_Ratings1"/>
      <sheetName val="Exchange_Rates1"/>
      <sheetName val="Drop_Down_Lists1"/>
      <sheetName val="[CIVGEST1_XLS绠ນ1"/>
      <sheetName val="Import_Dropdown1"/>
      <sheetName val="FOGLIO_DI_BACKUP1"/>
      <sheetName val="drop_down1"/>
      <sheetName val="DATA_LIST1"/>
      <sheetName val="Detalhe_x_WBS"/>
      <sheetName val="List_master1"/>
      <sheetName val="GA-5230-11_CQI_2017"/>
      <sheetName val="Chart_EMEA_TREND"/>
      <sheetName val="Dados Gerais"/>
      <sheetName val="Zero_Base_Instruction1"/>
      <sheetName val="MrHide"/>
      <sheetName val="????"/>
      <sheetName val="Articoli_(2)4"/>
      <sheetName val="PN-Civ_(2)4"/>
      <sheetName val="ZWBP_s_amm_3"/>
      <sheetName val="Resumo_244_K233"/>
      <sheetName val="IS_F_Y3"/>
      <sheetName val="Marea_MY3"/>
      <sheetName val="Brava-o_MY3"/>
      <sheetName val="P_TO3"/>
      <sheetName val="GRÁF__FGA_BR+AR3"/>
      <sheetName val="Turkey_PGP3"/>
      <sheetName val="CIVGEST1_XLS3"/>
      <sheetName val="Raw_Ratings2"/>
      <sheetName val="Exchange_Rates2"/>
      <sheetName val="Drop_Down_Lists2"/>
      <sheetName val="Data_List2"/>
      <sheetName val="[CIVGEST1_XLS绠ນ2"/>
      <sheetName val="Import_Dropdown2"/>
      <sheetName val="FOGLIO_DI_BACKUP2"/>
      <sheetName val="drop_down2"/>
      <sheetName val="List_master2"/>
      <sheetName val="Zero_Base_Instruction2"/>
      <sheetName val="Detalhe_x_WBS1"/>
      <sheetName val="GA-5230-11_CQI_20171"/>
      <sheetName val="Chart_EMEA_TREND1"/>
      <sheetName val="Centro_de_custo_Control"/>
      <sheetName val="ORIGINE_DATI_(2)"/>
      <sheetName val="Dados_Gerais"/>
      <sheetName val="6 - SOCIETA"/>
      <sheetName val="Database"/>
      <sheetName val="R.O.2"/>
      <sheetName val="FATT"/>
      <sheetName val="Raw material"/>
      <sheetName val="Articoli_(2)5"/>
      <sheetName val="PN-Civ_(2)5"/>
      <sheetName val="Resumo_244_K234"/>
      <sheetName val="ZWBP_s_amm_4"/>
      <sheetName val="IS_F_Y4"/>
      <sheetName val="GRÁF__FGA_BR+AR4"/>
      <sheetName val="Marea_MY4"/>
      <sheetName val="Brava-o_MY4"/>
      <sheetName val="P_TO4"/>
      <sheetName val="Turkey_PGP4"/>
      <sheetName val="CIVGEST1_XLS4"/>
      <sheetName val="Raw_Ratings3"/>
      <sheetName val="Exchange_Rates3"/>
      <sheetName val="Drop_Down_Lists3"/>
      <sheetName val="Data_List3"/>
      <sheetName val="[CIVGEST1_XLS绠ນ3"/>
      <sheetName val="Import_Dropdown3"/>
      <sheetName val="FOGLIO_DI_BACKUP3"/>
      <sheetName val="drop_down3"/>
      <sheetName val="List_master3"/>
      <sheetName val="Zero_Base_Instruction3"/>
      <sheetName val="Detalhe_x_WBS2"/>
      <sheetName val="GA-5230-11_CQI_20172"/>
      <sheetName val="Chart_EMEA_TREND2"/>
      <sheetName val="#REF"/>
      <sheetName val="10 - PL_IFRS_ICP"/>
      <sheetName val="Articoli_(2)6"/>
      <sheetName val="PN-Civ_(2)6"/>
      <sheetName val="Resumo_244_K235"/>
      <sheetName val="ZWBP_s_amm_5"/>
      <sheetName val="IS_F_Y5"/>
      <sheetName val="Marea_MY5"/>
      <sheetName val="Brava-o_MY5"/>
      <sheetName val="P_TO5"/>
      <sheetName val="GRÁF__FGA_BR+AR5"/>
      <sheetName val="Turkey_PGP5"/>
      <sheetName val="CIVGEST1_XLS5"/>
      <sheetName val="Raw_Ratings4"/>
      <sheetName val="Exchange_Rates4"/>
      <sheetName val="Drop_Down_Lists4"/>
      <sheetName val="Data_List4"/>
      <sheetName val="[CIVGEST1_XLS绠ນ4"/>
      <sheetName val="Import_Dropdown4"/>
      <sheetName val="FOGLIO_DI_BACKUP4"/>
      <sheetName val="drop_down4"/>
      <sheetName val="List_master4"/>
      <sheetName val="Zero_Base_Instruction4"/>
      <sheetName val="Detalhe_x_WBS3"/>
      <sheetName val="GA-5230-11_CQI_20173"/>
      <sheetName val="Chart_EMEA_TREND3"/>
      <sheetName val="Centro_de_custo_Control1"/>
      <sheetName val="6_-_SOCIETA"/>
      <sheetName val="R_O_2"/>
      <sheetName val="SUPPORTO_CURRENCY"/>
      <sheetName val="Raw_material"/>
      <sheetName val="10_-_PL_IFRS_ICP"/>
      <sheetName val="Tables"/>
      <sheetName val="HUNIT"/>
      <sheetName val="Other R&amp;O"/>
      <sheetName val="12 - KPI(1)"/>
      <sheetName val="综合成本分析01.01-0205"/>
      <sheetName val="ORIGINE_DATI_(2)1"/>
      <sheetName val="Dados_Gerais1"/>
      <sheetName val="PT Projects"/>
      <sheetName val="RISQUE DE TAUX"/>
      <sheetName val="TAUX RETENU"/>
      <sheetName val="ENCOURS DE CREDIT"/>
      <sheetName val="DONNEES CREDIT+REFINANCEMENT"/>
      <sheetName val="BILAN SIMPLIFIE"/>
      <sheetName val="RISQUE DE LIQUIDITE"/>
      <sheetName val="ANALYSE TAUX"/>
      <sheetName val="Adj_details"/>
      <sheetName val="RISQUE_DE_TAUX"/>
      <sheetName val="TAUX_RETENU"/>
      <sheetName val="ENCOURS_DE_CREDIT"/>
      <sheetName val="DONNEES_CREDIT+REFINANCEMENT"/>
      <sheetName val="BILAN_SIMPLIFIE"/>
      <sheetName val="RISQUE_DE_LIQUIDITE"/>
      <sheetName val="ANALYSE_TAUX"/>
      <sheetName val="RISQUE_DE_TAUX1"/>
      <sheetName val="PARAMETRI"/>
      <sheetName val="mm10"/>
      <sheetName val="Articoli_(2)7"/>
      <sheetName val="PN-Civ_(2)7"/>
      <sheetName val="ZWBP_s_amm_6"/>
      <sheetName val="Turkey_PGP6"/>
      <sheetName val="CIVGEST1_XLS6"/>
      <sheetName val="Resumo_244_K236"/>
      <sheetName val="IS_F_Y6"/>
      <sheetName val="GRÁF__FGA_BR+AR6"/>
      <sheetName val="Marea_MY6"/>
      <sheetName val="Brava-o_MY6"/>
      <sheetName val="P_TO6"/>
      <sheetName val="Raw_Ratings5"/>
      <sheetName val="Exchange_Rates5"/>
      <sheetName val="Drop_Down_Lists5"/>
      <sheetName val="[CIVGEST1_XLS绠ນ5"/>
      <sheetName val="Import_Dropdown5"/>
      <sheetName val="FOGLIO_DI_BACKUP5"/>
      <sheetName val="drop_down5"/>
      <sheetName val="List_master5"/>
      <sheetName val="Detalhe_x_WBS4"/>
      <sheetName val="GA-5230-11_CQI_20174"/>
      <sheetName val="Chart_EMEA_TREND4"/>
      <sheetName val="Zero_Base_Instruction5"/>
      <sheetName val="Centro_de_custo_Control2"/>
      <sheetName val="ORIGINE_DATI_(2)2"/>
      <sheetName val="Dados_Gerais2"/>
      <sheetName val="SUPPORTO_CURRENCY1"/>
      <sheetName val="Raw_material1"/>
      <sheetName val="6_-_SOCIETA1"/>
      <sheetName val="R_O_21"/>
      <sheetName val="10_-_PL_IFRS_ICP1"/>
      <sheetName val="Other_R&amp;O"/>
      <sheetName val="12_-_KPI(1)"/>
      <sheetName val="综合成本分析01_01-0205"/>
      <sheetName val="_x005f_x005f_x005f_x0000_"/>
      <sheetName val="_"/>
      <sheetName val="_CIVGEST1.XLS绠ນ"/>
      <sheetName val="_CIVGEST1_XLS绠ນ"/>
      <sheetName val="cash budget"/>
      <sheetName val="CAP FCST SUM-GMNA"/>
      <sheetName val="APV"/>
      <sheetName val="Data_List5"/>
      <sheetName val="INSH2BSE (3)"/>
      <sheetName val="SUPPORTO_CURRENCY2"/>
      <sheetName val="Parameters"/>
      <sheetName val="1283"/>
      <sheetName val="MOTO"/>
      <sheetName val="基准"/>
      <sheetName val="Pareto Top RPN"/>
      <sheetName val="__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bud_97 (3)"/>
      <sheetName val="report8 (2)"/>
      <sheetName val="report8"/>
      <sheetName val="medici"/>
      <sheetName val="TARGET95"/>
      <sheetName val="ip5_bud97 (2)"/>
      <sheetName val="ROTT96-97BUD97"/>
      <sheetName val="INUTBUD97"/>
      <sheetName val="bud_97noammtot"/>
      <sheetName val="ATT97"/>
      <sheetName val="AMbud_97 (2)"/>
      <sheetName val="inizAF311297 (2)"/>
      <sheetName val="RIPCCAF97 (2)"/>
      <sheetName val="AM_96 _5+7"/>
      <sheetName val="rot96bud97"/>
      <sheetName val="RIPCCAF96"/>
      <sheetName val="IP1_5_7_96"/>
      <sheetName val="ip5_5_7_96"/>
      <sheetName val="INUT5_796"/>
      <sheetName val="inizAF311296"/>
      <sheetName val="inizAF311297"/>
      <sheetName val="inizAF"/>
      <sheetName val="ip1bud97"/>
      <sheetName val="ip5_bud97"/>
      <sheetName val="INUTBUD_97 "/>
      <sheetName val="AMbud_97"/>
      <sheetName val="totnopiaaf97"/>
      <sheetName val="RIPCCAF97"/>
      <sheetName val="Foglio2"/>
      <sheetName val="Foglio3"/>
      <sheetName val="Foglio4"/>
      <sheetName val="Foglio5"/>
      <sheetName val="Foglio6"/>
      <sheetName val="Foglio7"/>
      <sheetName val="Foglio8"/>
      <sheetName val="Foglio9"/>
      <sheetName val="Foglio10"/>
      <sheetName val="Foglio11"/>
      <sheetName val="Foglio12"/>
      <sheetName val="Foglio13"/>
      <sheetName val="Foglio14"/>
      <sheetName val="Foglio15"/>
      <sheetName val="Foglio16"/>
      <sheetName val="#RIF"/>
      <sheetName val="Foglio1"/>
      <sheetName val="RICAVISystems"/>
      <sheetName val="Dados"/>
      <sheetName val="IS F Y"/>
      <sheetName val="Mth"/>
      <sheetName val="Qtr"/>
      <sheetName val="Variance by Mth"/>
      <sheetName val="Copertina"/>
      <sheetName val="Pivot_mese"/>
      <sheetName val="Pivot_mese_Vc"/>
      <sheetName val="Pivot_prog"/>
      <sheetName val="Pivot_prog_Vc"/>
      <sheetName val="Pivotf3+9_vc"/>
      <sheetName val="Pivotf3+9"/>
      <sheetName val="BUDG"/>
      <sheetName val="ZWBP s amm "/>
      <sheetName val="Parameters"/>
      <sheetName val="Analisi del Valore - Foglio 1"/>
      <sheetName val="PREV_RICAVI"/>
      <sheetName val="RENDFIN"/>
      <sheetName val="Sintesi RGAI BASE"/>
      <sheetName val="Flex"/>
      <sheetName val="AMbud_97_(3)"/>
      <sheetName val="report8_(2)"/>
      <sheetName val="ip5_bud97_(2)"/>
      <sheetName val="AMbud_97_(2)"/>
      <sheetName val="inizAF311297_(2)"/>
      <sheetName val="RIPCCAF97_(2)"/>
      <sheetName val="AM_96__5+7"/>
      <sheetName val="INUTBUD_97_"/>
      <sheetName val="IS_F_Y"/>
      <sheetName val="Variance_by_Mth"/>
      <sheetName val="ZWBP_s_amm_"/>
      <sheetName val="BUD"/>
      <sheetName val="BUD_NF"/>
      <sheetName val="LOOKUPS"/>
      <sheetName val="Exchange Rates"/>
      <sheetName val="Ausstattungsbereinigung - 1"/>
      <sheetName val="PRESidi"/>
      <sheetName val="BR R$"/>
      <sheetName val="Distribuição_anual"/>
      <sheetName val="FATT"/>
      <sheetName val="Detalhe x WBS"/>
      <sheetName val="Ref"/>
      <sheetName val="96isstoiss"/>
      <sheetName val="Crea_PS_TMP"/>
      <sheetName val="9D"/>
      <sheetName val="AMbud_97_(3)1"/>
      <sheetName val="report8_(2)1"/>
      <sheetName val="ip5_bud97_(2)1"/>
      <sheetName val="AMbud_97_(2)1"/>
      <sheetName val="inizAF311297_(2)1"/>
      <sheetName val="RIPCCAF97_(2)1"/>
      <sheetName val="AM_96__5+71"/>
      <sheetName val="INUTBUD_97_1"/>
      <sheetName val="IS_F_Y1"/>
      <sheetName val="Variance_by_Mth1"/>
      <sheetName val="ZWBP_s_amm_1"/>
      <sheetName val="Analisi_del_Valore_-_Foglio_1"/>
      <sheetName val="Sintesi_RGAI_BASE"/>
      <sheetName val="Exchange_Rates"/>
      <sheetName val="Ausstattungsbereinigung_-_1"/>
      <sheetName val="BR_R$"/>
      <sheetName val="ECOLOGIA"/>
      <sheetName val="POV"/>
      <sheetName val=" Detalhe x WBS_HIGH"/>
      <sheetName val="Tdb_Bdg"/>
      <sheetName val="Obj. Prova"/>
      <sheetName val="Apresentação"/>
      <sheetName val="Dropdowns"/>
      <sheetName val="Detalhe_x_WBS"/>
      <sheetName val="综合成本分析01.01-0205"/>
      <sheetName val="AMbud_97_(3)2"/>
      <sheetName val="report8_(2)2"/>
      <sheetName val="ip5_bud97_(2)2"/>
      <sheetName val="AMbud_97_(2)2"/>
      <sheetName val="inizAF311297_(2)2"/>
      <sheetName val="RIPCCAF97_(2)2"/>
      <sheetName val="AM_96__5+72"/>
      <sheetName val="INUTBUD_97_2"/>
      <sheetName val="IS_F_Y2"/>
      <sheetName val="Variance_by_Mth2"/>
      <sheetName val="ZWBP_s_amm_2"/>
      <sheetName val="Analisi_del_Valore_-_Foglio_11"/>
      <sheetName val="Exchange_Rates1"/>
      <sheetName val="Sintesi_RGAI_BASE1"/>
      <sheetName val="Ausstattungsbereinigung_-_11"/>
      <sheetName val="BR_R$1"/>
      <sheetName val="Detalhe_x_WBS1"/>
      <sheetName val="AMbud_97_(3)3"/>
      <sheetName val="report8_(2)3"/>
      <sheetName val="ip5_bud97_(2)3"/>
      <sheetName val="AMbud_97_(2)3"/>
      <sheetName val="inizAF311297_(2)3"/>
      <sheetName val="RIPCCAF97_(2)3"/>
      <sheetName val="AM_96__5+73"/>
      <sheetName val="INUTBUD_97_3"/>
      <sheetName val="IS_F_Y3"/>
      <sheetName val="Variance_by_Mth3"/>
      <sheetName val="ZWBP_s_amm_3"/>
      <sheetName val="Analisi_del_Valore_-_Foglio_12"/>
      <sheetName val="Exchange_Rates2"/>
      <sheetName val="Sintesi_RGAI_BASE2"/>
      <sheetName val="Ausstattungsbereinigung_-_12"/>
      <sheetName val="BR_R$2"/>
      <sheetName val="Detalhe_x_WBS2"/>
      <sheetName val="综合成本分析01_01-0205"/>
      <sheetName val="PO"/>
      <sheetName val="DMPL"/>
      <sheetName val="MUTAÇÕES"/>
      <sheetName val="DRE"/>
      <sheetName val="BANCO"/>
      <sheetName val="ADM-VENDAS"/>
      <sheetName val="TXT09"/>
      <sheetName val="TXT07"/>
      <sheetName val="TXT08"/>
      <sheetName val="AMbud_97_(3)4"/>
      <sheetName val="report8_(2)4"/>
      <sheetName val="ip5_bud97_(2)4"/>
      <sheetName val="AMbud_97_(2)4"/>
      <sheetName val="inizAF311297_(2)4"/>
      <sheetName val="RIPCCAF97_(2)4"/>
      <sheetName val="AM_96__5+74"/>
      <sheetName val="INUTBUD_97_4"/>
      <sheetName val="IS_F_Y4"/>
      <sheetName val="ZWBP_s_amm_4"/>
      <sheetName val="Variance_by_Mth4"/>
      <sheetName val="Analisi_del_Valore_-_Foglio_13"/>
      <sheetName val="Exchange_Rates3"/>
      <sheetName val="Sintesi_RGAI_BASE3"/>
      <sheetName val="Ausstattungsbereinigung_-_13"/>
      <sheetName val="BR_R$3"/>
      <sheetName val="Detalhe_x_WBS3"/>
      <sheetName val="综合成本分析01_01-02051"/>
      <sheetName val="_Detalhe_x_WBS_HIGH"/>
      <sheetName val="FY02"/>
      <sheetName val="PREV-DIR"/>
      <sheetName val="SA -2038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pisteria"/>
      <sheetName val="Medium"/>
      <sheetName val="RIPCCAF96"/>
      <sheetName val="order"/>
      <sheetName val="Juros Brasil F43"/>
      <sheetName val="Euro-Q öngörü"/>
      <sheetName val="Analisi del Valore - Foglio 1"/>
      <sheetName val="Sottosistemi"/>
      <sheetName val="Convalida Dati"/>
      <sheetName val="Base"/>
      <sheetName val="Plan1"/>
      <sheetName val="98CALENDAR (2)"/>
      <sheetName val="MAREA"/>
      <sheetName val="Marea MY"/>
      <sheetName val="ULYSSE"/>
      <sheetName val="Brava-o MY"/>
      <sheetName val="SEI"/>
      <sheetName val="PANDA"/>
      <sheetName val="P.TO"/>
      <sheetName val="MULTIPLA"/>
      <sheetName val="COUPE"/>
      <sheetName val="Read_Me"/>
      <sheetName val="Requirements"/>
      <sheetName val="Workload_Plan"/>
      <sheetName val="Employees"/>
      <sheetName val="Combo_Box"/>
      <sheetName val="Matrice F_2009 &amp; 2010"/>
      <sheetName val="GRÁF. FGA BR+AR"/>
      <sheetName val="one-offs"/>
      <sheetName val="Roll0727"/>
      <sheetName val="fixing0721"/>
      <sheetName val="Sintesi RGAI BASE"/>
      <sheetName val="Flex"/>
      <sheetName val="BoM Delivery adress"/>
      <sheetName val="Appoggio_grafico"/>
      <sheetName val="Supporto"/>
      <sheetName val="구동"/>
      <sheetName val="Issues List"/>
      <sheetName val="Dati_elenchi"/>
      <sheetName val="Commodities"/>
      <sheetName val="Supporto_weight_data"/>
      <sheetName val="Parametre"/>
      <sheetName val="LISTA MACRO VOICES"/>
      <sheetName val="LISTA RISKS&amp;OPPS"/>
      <sheetName val="campi a scelta"/>
      <sheetName val="Summary"/>
      <sheetName val="Errors_130303"/>
      <sheetName val="Commodity perimeters"/>
      <sheetName val="Foglio1"/>
      <sheetName val="Best Forecast"/>
      <sheetName val="Input"/>
      <sheetName val="A Matrix-0"/>
      <sheetName val="Table"/>
      <sheetName val="SINCOM"/>
      <sheetName val="Data"/>
      <sheetName val="LOV"/>
      <sheetName val="Materia-Prima"/>
      <sheetName val="Anagrafiche"/>
      <sheetName val="tabella C"/>
      <sheetName val="tabella B"/>
      <sheetName val="tabella A"/>
      <sheetName val="Elenchi"/>
      <sheetName val="Parameters"/>
      <sheetName val="Sheet2"/>
      <sheetName val="RofExch"/>
      <sheetName val="Page 10"/>
      <sheetName val="DATABASE"/>
      <sheetName val="Data Validation"/>
      <sheetName val="Sheet3"/>
      <sheetName val="Sheet4"/>
      <sheetName val="Euro-Q_öngörü"/>
      <sheetName val="Juros_Brasil_F43"/>
      <sheetName val="Analisi_del_Valore_-_Foglio_1"/>
      <sheetName val="Convalida_Dati"/>
      <sheetName val="98CALENDAR_(2)"/>
      <sheetName val="Marea_MY"/>
      <sheetName val="Brava-o_MY"/>
      <sheetName val="P_TO"/>
      <sheetName val="Matrice_F_2009_&amp;_2010"/>
      <sheetName val="GRÁF__FGA_BR+AR"/>
      <sheetName val="BoM_Delivery_adress"/>
      <sheetName val="Sintesi_RGAI_BASE"/>
      <sheetName val="Issues_List"/>
      <sheetName val="Commodity_perimeters"/>
      <sheetName val="LISTA_MACRO_VOICES"/>
      <sheetName val="LISTA_RISKS&amp;OPPS"/>
      <sheetName val="Best_Forecast"/>
      <sheetName val="A_Matrix-0"/>
      <sheetName val="campi_a_scelta"/>
      <sheetName val="tabella_C"/>
      <sheetName val="tabella_B"/>
      <sheetName val="tabella_A"/>
      <sheetName val="Page_10"/>
      <sheetName val="Data_Validation"/>
      <sheetName val="#RIF"/>
      <sheetName val="Bases"/>
      <sheetName val="Premissas"/>
      <sheetName val="A Matrix"/>
      <sheetName val="Sheet1"/>
      <sheetName val="损失定义"/>
      <sheetName val="Drop List"/>
      <sheetName val="DropList"/>
      <sheetName val="Dati selezione"/>
      <sheetName val="ECON"/>
      <sheetName val="Graf Saturac"/>
      <sheetName val="TABELA CR"/>
      <sheetName val="人员预算参数"/>
      <sheetName val="Dati"/>
      <sheetName val=""/>
      <sheetName val="链接"/>
      <sheetName val="损失明细定义"/>
      <sheetName val="有效性链接"/>
      <sheetName val="数据有效性链接(勿删)"/>
      <sheetName val="故障根因分类(勿删)"/>
      <sheetName val="损失类型-更新"/>
      <sheetName val="损失类型"/>
      <sheetName val="附录"/>
      <sheetName val="Distribuição_anual"/>
      <sheetName val="Listas"/>
      <sheetName val="Team"/>
      <sheetName val="DATA LIST"/>
      <sheetName val="Availability"/>
      <sheetName val="LISTA"/>
      <sheetName val="BICEEPR"/>
      <sheetName val="Clusters"/>
      <sheetName val="Sheet2 (2)"/>
      <sheetName val="数据有效性（勿删）"/>
      <sheetName val="数据有效性链接"/>
      <sheetName val="序列"/>
      <sheetName val="List"/>
      <sheetName val="Ana Tablo"/>
      <sheetName val="base_input"/>
      <sheetName val="Dati Input Progetto"/>
      <sheetName val="Índice"/>
      <sheetName val="CLUSTER"/>
      <sheetName val=" BACK-UP PIM"/>
      <sheetName val="责任领域"/>
      <sheetName val="LOV_Struttura"/>
      <sheetName val="Kumule.09.May.18"/>
      <sheetName val="TOT ASC"/>
      <sheetName val="Costs"/>
      <sheetName val="MACRO Timing"/>
      <sheetName val="Timing ASC Chassis"/>
      <sheetName val="Timing ASC EE"/>
      <sheetName val="Timing ASC Comp"/>
      <sheetName val="Foglio2"/>
      <sheetName val="RIEPILOGO METASTORM APERTI"/>
      <sheetName val="Help"/>
      <sheetName val="STDLists"/>
      <sheetName val="人员技能矩阵"/>
      <sheetName val="Kümüle"/>
      <sheetName val="2018"/>
      <sheetName val="Support"/>
      <sheetName val="值列表"/>
      <sheetName val="数据有效性"/>
      <sheetName val="收益成本计算表"/>
      <sheetName val="工程师负荷"/>
      <sheetName val="Sheet5"/>
      <sheetName val="BACK UP"/>
      <sheetName val="PO_FIAT_AUTO_MONDO"/>
      <sheetName val="1999"/>
      <sheetName val="356-SW-RAPOR"/>
      <sheetName val="Lista Suspensa"/>
      <sheetName val="Resources"/>
      <sheetName val="省市代码"/>
      <sheetName val="totals"/>
      <sheetName val="BrokenColumn"/>
      <sheetName val="Elenco Progetti - Cluster"/>
      <sheetName val="Euro-Q_öngörü1"/>
      <sheetName val="Juros_Brasil_F431"/>
      <sheetName val="Analisi_del_Valore_-_Foglio_11"/>
      <sheetName val="Convalida_Dati1"/>
      <sheetName val="98CALENDAR_(2)1"/>
      <sheetName val="Marea_MY1"/>
      <sheetName val="Brava-o_MY1"/>
      <sheetName val="P_TO1"/>
      <sheetName val="Matrice_F_2009_&amp;_20101"/>
      <sheetName val="GRÁF__FGA_BR+AR1"/>
      <sheetName val="BoM_Delivery_adress1"/>
      <sheetName val="Sintesi_RGAI_BASE1"/>
      <sheetName val="Issues_List1"/>
      <sheetName val="LISTA_MACRO_VOICES1"/>
      <sheetName val="LISTA_RISKS&amp;OPPS1"/>
      <sheetName val="Commodity_perimeters1"/>
      <sheetName val="campi_a_scelta1"/>
      <sheetName val="Best_Forecast1"/>
      <sheetName val="A_Matrix-01"/>
      <sheetName val="Drop_List"/>
      <sheetName val="tabella_C1"/>
      <sheetName val="tabella_B1"/>
      <sheetName val="tabella_A1"/>
      <sheetName val="Page_101"/>
      <sheetName val="Data_Validation1"/>
      <sheetName val="A_Matrix"/>
      <sheetName val="Dati_selezione"/>
      <sheetName val="OPE-MONTAJ-AY"/>
      <sheetName val="data val."/>
      <sheetName val="Detalhe x WBS"/>
      <sheetName val="Input_Trs"/>
      <sheetName val="Input_Tyr"/>
      <sheetName val="Lists"/>
      <sheetName val="Sheet7"/>
      <sheetName val="Backup"/>
      <sheetName val="conv"/>
      <sheetName val="Data Table"/>
      <sheetName val="RESUMO"/>
      <sheetName val="Months"/>
      <sheetName val="_TRANSLATIONS"/>
      <sheetName val="ÁREAS"/>
      <sheetName val="Team References "/>
      <sheetName val="Classificações"/>
      <sheetName val="Fiesta"/>
      <sheetName val="BD Step1"/>
      <sheetName val="legenda"/>
      <sheetName val="Leyenda"/>
      <sheetName val="CVBUH2MONTHLY"/>
      <sheetName val="신규DEP"/>
      <sheetName val="Dropdowns"/>
      <sheetName val="리오1.35p(1)"/>
      <sheetName val="Instruction"/>
      <sheetName val="PO 2002 Dettaglio 843"/>
      <sheetName val="合格率"/>
      <sheetName val="参数"/>
      <sheetName val="Summary(Ente)"/>
      <sheetName val="Euro-Q_öngörü2"/>
      <sheetName val="Juros_Brasil_F432"/>
      <sheetName val="Analisi_del_Valore_-_Foglio_12"/>
      <sheetName val="Convalida_Dati2"/>
      <sheetName val="98CALENDAR_(2)2"/>
      <sheetName val="Marea_MY2"/>
      <sheetName val="Brava-o_MY2"/>
      <sheetName val="P_TO2"/>
      <sheetName val="Matrice_F_2009_&amp;_20102"/>
      <sheetName val="Sintesi_RGAI_BASE2"/>
      <sheetName val="GRÁF__FGA_BR+AR2"/>
      <sheetName val="BoM_Delivery_adress2"/>
      <sheetName val="Issues_List2"/>
      <sheetName val="Commodity_perimeters2"/>
      <sheetName val="LISTA_MACRO_VOICES2"/>
      <sheetName val="LISTA_RISKS&amp;OPPS2"/>
      <sheetName val="Best_Forecast2"/>
      <sheetName val="A_Matrix-02"/>
      <sheetName val="campi_a_scelta2"/>
      <sheetName val="tabella_C2"/>
      <sheetName val="tabella_B2"/>
      <sheetName val="tabella_A2"/>
      <sheetName val="Page_102"/>
      <sheetName val="Data_Validation2"/>
      <sheetName val="A_Matrix1"/>
      <sheetName val="Graf_Saturac"/>
      <sheetName val="TABELA_CR"/>
      <sheetName val="Drop_List1"/>
      <sheetName val="Dati_selezione1"/>
      <sheetName val="DATA_LIST"/>
      <sheetName val="Ana_Tablo"/>
      <sheetName val="Sheet2_(2)"/>
      <sheetName val="Kumule_09_May_18"/>
      <sheetName val="Dati_Input_Progetto"/>
      <sheetName val="_BACK-UP_PIM"/>
      <sheetName val="TOT_ASC"/>
      <sheetName val="MACRO_Timing"/>
      <sheetName val="Timing_ASC_Chassis"/>
      <sheetName val="Timing_ASC_EE"/>
      <sheetName val="Timing_ASC_Comp"/>
      <sheetName val="RIEPILOGO_METASTORM_APERTI"/>
      <sheetName val="BACK_UP"/>
      <sheetName val="Lista_Suspensa"/>
      <sheetName val="Elenco_Progetti_-_Cluster"/>
      <sheetName val="Detalhe_x_WBS"/>
      <sheetName val="data_val_"/>
      <sheetName val="BD_Step1"/>
      <sheetName val="Team_References_"/>
      <sheetName val="Data_Table"/>
      <sheetName val="리오1_35p(1)"/>
      <sheetName val="elenco"/>
      <sheetName val="人员名单"/>
      <sheetName val="基礎ﾃﾞｰﾀ"/>
      <sheetName val="Cash Flow"/>
      <sheetName val="ISD-MG"/>
      <sheetName val="graph"/>
      <sheetName val="CIV-GEST"/>
      <sheetName val="Download"/>
      <sheetName val="Labour Cost"/>
      <sheetName val="Combobox"/>
      <sheetName val="Status Matrix"/>
      <sheetName val="Operating Plan Changes"/>
      <sheetName val="Standardizations"/>
      <sheetName val="ODS QOS Total"/>
      <sheetName val="034"/>
      <sheetName val="VARIABILE"/>
      <sheetName val="Tooling"/>
      <sheetName val="tools"/>
      <sheetName val="KEY"/>
      <sheetName val="Step A"/>
      <sheetName val="14.9月分"/>
      <sheetName val="KEY_Appendix"/>
      <sheetName val="bal12"/>
      <sheetName val="Tables"/>
      <sheetName val="DEFAULTS-Override"/>
      <sheetName val="INPUTS"/>
      <sheetName val="MaterialDetail"/>
      <sheetName val="INPUTS-Specials"/>
      <sheetName val="Selic"/>
      <sheetName val="Lead"/>
      <sheetName val="ISS-1"/>
      <sheetName val="INSS"/>
      <sheetName val="FGTS-1"/>
      <sheetName val="PIS-1"/>
      <sheetName val="PIS-2"/>
      <sheetName val="COFINS-1"/>
      <sheetName val="COFINS-2"/>
      <sheetName val="PAES-PPC"/>
      <sheetName val="PAES-DTT"/>
      <sheetName val="relatório"/>
      <sheetName val="DADOS"/>
      <sheetName val="MENU"/>
      <sheetName val="Graf_Saturac1"/>
      <sheetName val="TABELA_CR1"/>
      <sheetName val="DATA_LIST1"/>
      <sheetName val="Sheet2_(2)1"/>
      <sheetName val="GA - SA_PLAN"/>
      <sheetName val="Cost Center &amp; Month List"/>
      <sheetName val="BoM_Arctic_FCEV_V7"/>
      <sheetName val="BUDG"/>
      <sheetName val="Vari"/>
      <sheetName val="RIEPILOGO"/>
      <sheetName val="Girdi Maliyetleri"/>
      <sheetName val="Drop-Down"/>
      <sheetName val="Euro-Q_öngörü3"/>
      <sheetName val="Juros_Brasil_F433"/>
      <sheetName val="Analisi_del_Valore_-_Foglio_13"/>
      <sheetName val="Convalida_Dati3"/>
      <sheetName val="98CALENDAR_(2)3"/>
      <sheetName val="Marea_MY3"/>
      <sheetName val="Brava-o_MY3"/>
      <sheetName val="P_TO3"/>
      <sheetName val="Matrice_F_2009_&amp;_20103"/>
      <sheetName val="GRÁF__FGA_BR+AR3"/>
      <sheetName val="BoM_Delivery_adress3"/>
      <sheetName val="Sintesi_RGAI_BASE3"/>
      <sheetName val="Issues_List3"/>
      <sheetName val="LISTA_MACRO_VOICES3"/>
      <sheetName val="LISTA_RISKS&amp;OPPS3"/>
      <sheetName val="Commodity_perimeters3"/>
      <sheetName val="Best_Forecast3"/>
      <sheetName val="campi_a_scelta3"/>
      <sheetName val="A_Matrix-03"/>
      <sheetName val="tabella_C3"/>
      <sheetName val="tabella_B3"/>
      <sheetName val="tabella_A3"/>
      <sheetName val="Page_103"/>
      <sheetName val="Data_Validation3"/>
      <sheetName val="A_Matrix2"/>
      <sheetName val="Drop_List2"/>
      <sheetName val="Dati_selezione2"/>
      <sheetName val="Ana_Tablo1"/>
      <sheetName val="Dati_Input_Progetto1"/>
      <sheetName val="_BACK-UP_PIM1"/>
      <sheetName val="Kumule_09_May_181"/>
      <sheetName val="TOT_ASC1"/>
      <sheetName val="MACRO_Timing1"/>
      <sheetName val="Timing_ASC_Chassis1"/>
      <sheetName val="Timing_ASC_EE1"/>
      <sheetName val="Timing_ASC_Comp1"/>
      <sheetName val="RIEPILOGO_METASTORM_APERTI1"/>
      <sheetName val="Elenco_Progetti_-_Cluster1"/>
      <sheetName val="BACK_UP1"/>
      <sheetName val="Lista_Suspensa1"/>
      <sheetName val="data_val_1"/>
      <sheetName val="Detalhe_x_WBS1"/>
      <sheetName val="Data_Table1"/>
      <sheetName val="Team_References_1"/>
      <sheetName val="BD_Step11"/>
      <sheetName val="리오1_35p(1)1"/>
      <sheetName val="Operating_Plan_Changes"/>
      <sheetName val="PO_2002_Dettaglio_843"/>
      <sheetName val="Status_Matrix"/>
      <sheetName val="Cash_Flow"/>
      <sheetName val="Labour_Cost"/>
      <sheetName val="ODS_QOS_Total"/>
      <sheetName val="Girdi_Maliyetle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_Mondo_-_Mix_(2)9"/>
      <sheetName val="ALL_MERCATO-PTT-SCOCCA9"/>
      <sheetName val="ALLEST__MERCATI_ALTRE_COMB_9"/>
      <sheetName val="ALLEST__ASSORBIMENTI9"/>
      <sheetName val="Optional_per_Versione9"/>
      <sheetName val="Griglia_Mondo_-_Mix9"/>
      <sheetName val="Griglia_Mondo_-_Mix_(2)"/>
      <sheetName val="ALL_MERCATO-PTT-SCOCCA"/>
      <sheetName val="ALLEST__MERCATI_ALTRE_COMB_"/>
      <sheetName val="ALLEST__ASSORBIMENTI"/>
      <sheetName val="Optional_per_Versione"/>
      <sheetName val="Griglia_Mondo_-_Mix"/>
      <sheetName val="Griglia_Mondo_-_Mix_(2)1"/>
      <sheetName val="ALL_MERCATO-PTT-SCOCCA1"/>
      <sheetName val="ALLEST__MERCATI_ALTRE_COMB_1"/>
      <sheetName val="ALLEST__ASSORBIMENTI1"/>
      <sheetName val="Optional_per_Versione1"/>
      <sheetName val="Griglia_Mondo_-_Mix1"/>
      <sheetName val="Griglia_Mondo_-_Mix_(2)6"/>
      <sheetName val="ALL_MERCATO-PTT-SCOCCA6"/>
      <sheetName val="ALLEST__MERCATI_ALTRE_COMB_6"/>
      <sheetName val="ALLEST__ASSORBIMENTI6"/>
      <sheetName val="Optional_per_Versione6"/>
      <sheetName val="Griglia_Mondo_-_Mix6"/>
      <sheetName val="Griglia_Mondo_-_Mix_(2)2"/>
      <sheetName val="ALL_MERCATO-PTT-SCOCCA2"/>
      <sheetName val="ALLEST__MERCATI_ALTRE_COMB_2"/>
      <sheetName val="ALLEST__ASSORBIMENTI2"/>
      <sheetName val="Optional_per_Versione2"/>
      <sheetName val="Griglia_Mondo_-_Mix2"/>
      <sheetName val="Griglia_Mondo_-_Mix_(2)3"/>
      <sheetName val="ALL_MERCATO-PTT-SCOCCA3"/>
      <sheetName val="ALLEST__MERCATI_ALTRE_COMB_3"/>
      <sheetName val="ALLEST__ASSORBIMENTI3"/>
      <sheetName val="Optional_per_Versione3"/>
      <sheetName val="Griglia_Mondo_-_Mix3"/>
      <sheetName val="Griglia_Mondo_-_Mix_(2)4"/>
      <sheetName val="ALL_MERCATO-PTT-SCOCCA4"/>
      <sheetName val="ALLEST__MERCATI_ALTRE_COMB_4"/>
      <sheetName val="ALLEST__ASSORBIMENTI4"/>
      <sheetName val="Optional_per_Versione4"/>
      <sheetName val="Griglia_Mondo_-_Mix4"/>
      <sheetName val="Griglia_Mondo_-_Mix_(2)5"/>
      <sheetName val="ALL_MERCATO-PTT-SCOCCA5"/>
      <sheetName val="ALLEST__MERCATI_ALTRE_COMB_5"/>
      <sheetName val="ALLEST__ASSORBIMENTI5"/>
      <sheetName val="Optional_per_Versione5"/>
      <sheetName val="Griglia_Mondo_-_Mix5"/>
      <sheetName val="Griglia_Mondo_-_Mix_(2)7"/>
      <sheetName val="ALL_MERCATO-PTT-SCOCCA7"/>
      <sheetName val="ALLEST__MERCATI_ALTRE_COMB_7"/>
      <sheetName val="ALLEST__ASSORBIMENTI7"/>
      <sheetName val="Optional_per_Versione7"/>
      <sheetName val="Griglia_Mondo_-_Mix7"/>
      <sheetName val="Griglia_Mondo_-_Mix_(2)8"/>
      <sheetName val="ALL_MERCATO-PTT-SCOCCA8"/>
      <sheetName val="ALLEST__MERCATI_ALTRE_COMB_8"/>
      <sheetName val="ALLEST__ASSORBIMENTI8"/>
      <sheetName val="Optional_per_Versione8"/>
      <sheetName val="Griglia_Mondo_-_Mix8"/>
      <sheetName val="Griglia_Mondo_-_Mix_(2)99"/>
      <sheetName val="ALL_MERCATO-PTT-SCOCCA99"/>
      <sheetName val="ALLEST__MERCATI_ALTRE_COMB_99"/>
      <sheetName val="ALLEST__ASSORBIMENTI99"/>
      <sheetName val="Optional_per_Versione99"/>
      <sheetName val="Griglia_Mondo_-_Mix99"/>
      <sheetName val="Griglia_Mondo_-_Mix_(2)98"/>
      <sheetName val="ALL_MERCATO-PTT-SCOCCA98"/>
      <sheetName val="ALLEST__MERCATI_ALTRE_COMB_98"/>
      <sheetName val="ALLEST__ASSORBIMENTI98"/>
      <sheetName val="Optional_per_Versione98"/>
      <sheetName val="Griglia_Mondo_-_Mix98"/>
      <sheetName val="Griglia_Mondo_-_Mix_(2)12"/>
      <sheetName val="ALL_MERCATO-PTT-SCOCCA12"/>
      <sheetName val="ALLEST__MERCATI_ALTRE_COMB_12"/>
      <sheetName val="ALLEST__ASSORBIMENTI12"/>
      <sheetName val="Optional_per_Versione12"/>
      <sheetName val="Griglia_Mondo_-_Mix12"/>
      <sheetName val="Griglia_Mondo_-_Mix_(2)10"/>
      <sheetName val="ALL_MERCATO-PTT-SCOCCA10"/>
      <sheetName val="ALLEST__MERCATI_ALTRE_COMB_10"/>
      <sheetName val="ALLEST__ASSORBIMENTI10"/>
      <sheetName val="Optional_per_Versione10"/>
      <sheetName val="Griglia_Mondo_-_Mix10"/>
      <sheetName val="Griglia_Mondo_-_Mix_(2)11"/>
      <sheetName val="ALL_MERCATO-PTT-SCOCCA11"/>
      <sheetName val="ALLEST__MERCATI_ALTRE_COMB_11"/>
      <sheetName val="ALLEST__ASSORBIMENTI11"/>
      <sheetName val="Optional_per_Versione11"/>
      <sheetName val="Griglia_Mondo_-_Mix11"/>
      <sheetName val="Griglia_Mondo_-_Mix_(2)72"/>
      <sheetName val="ALL_MERCATO-PTT-SCOCCA72"/>
      <sheetName val="ALLEST__MERCATI_ALTRE_COMB_72"/>
      <sheetName val="ALLEST__ASSORBIMENTI72"/>
      <sheetName val="Optional_per_Versione72"/>
      <sheetName val="Griglia_Mondo_-_Mix72"/>
      <sheetName val="Griglia_Mondo_-_Mix_(2)71"/>
      <sheetName val="ALL_MERCATO-PTT-SCOCCA71"/>
      <sheetName val="ALLEST__MERCATI_ALTRE_COMB_71"/>
      <sheetName val="ALLEST__ASSORBIMENTI71"/>
      <sheetName val="Optional_per_Versione71"/>
      <sheetName val="Griglia_Mondo_-_Mix71"/>
      <sheetName val="Griglia_Mondo_-_Mix_(2)34"/>
      <sheetName val="ALL_MERCATO-PTT-SCOCCA34"/>
      <sheetName val="ALLEST__MERCATI_ALTRE_COMB_34"/>
      <sheetName val="ALLEST__ASSORBIMENTI34"/>
      <sheetName val="Optional_per_Versione34"/>
      <sheetName val="Griglia_Mondo_-_Mix34"/>
      <sheetName val="Griglia_Mondo_-_Mix_(2)18"/>
      <sheetName val="ALL_MERCATO-PTT-SCOCCA18"/>
      <sheetName val="ALLEST__MERCATI_ALTRE_COMB_18"/>
      <sheetName val="ALLEST__ASSORBIMENTI18"/>
      <sheetName val="Optional_per_Versione18"/>
      <sheetName val="Griglia_Mondo_-_Mix18"/>
      <sheetName val="Griglia_Mondo_-_Mix_(2)13"/>
      <sheetName val="ALL_MERCATO-PTT-SCOCCA13"/>
      <sheetName val="ALLEST__MERCATI_ALTRE_COMB_13"/>
      <sheetName val="ALLEST__ASSORBIMENTI13"/>
      <sheetName val="Optional_per_Versione13"/>
      <sheetName val="Griglia_Mondo_-_Mix13"/>
      <sheetName val="Griglia_Mondo_-_Mix_(2)14"/>
      <sheetName val="ALL_MERCATO-PTT-SCOCCA14"/>
      <sheetName val="ALLEST__MERCATI_ALTRE_COMB_14"/>
      <sheetName val="ALLEST__ASSORBIMENTI14"/>
      <sheetName val="Optional_per_Versione14"/>
      <sheetName val="Griglia_Mondo_-_Mix14"/>
      <sheetName val="Griglia_Mondo_-_Mix_(2)15"/>
      <sheetName val="ALL_MERCATO-PTT-SCOCCA15"/>
      <sheetName val="ALLEST__MERCATI_ALTRE_COMB_15"/>
      <sheetName val="ALLEST__ASSORBIMENTI15"/>
      <sheetName val="Optional_per_Versione15"/>
      <sheetName val="Griglia_Mondo_-_Mix15"/>
      <sheetName val="Griglia_Mondo_-_Mix_(2)16"/>
      <sheetName val="ALL_MERCATO-PTT-SCOCCA16"/>
      <sheetName val="ALLEST__MERCATI_ALTRE_COMB_16"/>
      <sheetName val="ALLEST__ASSORBIMENTI16"/>
      <sheetName val="Optional_per_Versione16"/>
      <sheetName val="Griglia_Mondo_-_Mix16"/>
      <sheetName val="Griglia_Mondo_-_Mix_(2)17"/>
      <sheetName val="ALL_MERCATO-PTT-SCOCCA17"/>
      <sheetName val="ALLEST__MERCATI_ALTRE_COMB_17"/>
      <sheetName val="ALLEST__ASSORBIMENTI17"/>
      <sheetName val="Optional_per_Versione17"/>
      <sheetName val="Griglia_Mondo_-_Mix17"/>
      <sheetName val="Griglia_Mondo_-_Mix_(2)19"/>
      <sheetName val="ALL_MERCATO-PTT-SCOCCA19"/>
      <sheetName val="ALLEST__MERCATI_ALTRE_COMB_19"/>
      <sheetName val="ALLEST__ASSORBIMENTI19"/>
      <sheetName val="Optional_per_Versione19"/>
      <sheetName val="Griglia_Mondo_-_Mix19"/>
      <sheetName val="Griglia_Mondo_-_Mix_(2)21"/>
      <sheetName val="ALL_MERCATO-PTT-SCOCCA21"/>
      <sheetName val="ALLEST__MERCATI_ALTRE_COMB_21"/>
      <sheetName val="ALLEST__ASSORBIMENTI21"/>
      <sheetName val="Optional_per_Versione21"/>
      <sheetName val="Griglia_Mondo_-_Mix21"/>
      <sheetName val="Griglia_Mondo_-_Mix_(2)20"/>
      <sheetName val="ALL_MERCATO-PTT-SCOCCA20"/>
      <sheetName val="ALLEST__MERCATI_ALTRE_COMB_20"/>
      <sheetName val="ALLEST__ASSORBIMENTI20"/>
      <sheetName val="Optional_per_Versione20"/>
      <sheetName val="Griglia_Mondo_-_Mix20"/>
      <sheetName val="Griglia_Mondo_-_Mix_(2)22"/>
      <sheetName val="ALL_MERCATO-PTT-SCOCCA22"/>
      <sheetName val="ALLEST__MERCATI_ALTRE_COMB_22"/>
      <sheetName val="ALLEST__ASSORBIMENTI22"/>
      <sheetName val="Optional_per_Versione22"/>
      <sheetName val="Griglia_Mondo_-_Mix22"/>
      <sheetName val="Griglia_Mondo_-_Mix_(2)23"/>
      <sheetName val="ALL_MERCATO-PTT-SCOCCA23"/>
      <sheetName val="ALLEST__MERCATI_ALTRE_COMB_23"/>
      <sheetName val="ALLEST__ASSORBIMENTI23"/>
      <sheetName val="Optional_per_Versione23"/>
      <sheetName val="Griglia_Mondo_-_Mix23"/>
      <sheetName val="Griglia_Mondo_-_Mix_(2)24"/>
      <sheetName val="ALL_MERCATO-PTT-SCOCCA24"/>
      <sheetName val="ALLEST__MERCATI_ALTRE_COMB_24"/>
      <sheetName val="ALLEST__ASSORBIMENTI24"/>
      <sheetName val="Optional_per_Versione24"/>
      <sheetName val="Griglia_Mondo_-_Mix24"/>
      <sheetName val="Griglia_Mondo_-_Mix_(2)25"/>
      <sheetName val="ALL_MERCATO-PTT-SCOCCA25"/>
      <sheetName val="ALLEST__MERCATI_ALTRE_COMB_25"/>
      <sheetName val="ALLEST__ASSORBIMENTI25"/>
      <sheetName val="Optional_per_Versione25"/>
      <sheetName val="Griglia_Mondo_-_Mix25"/>
      <sheetName val="Griglia_Mondo_-_Mix_(2)26"/>
      <sheetName val="ALL_MERCATO-PTT-SCOCCA26"/>
      <sheetName val="ALLEST__MERCATI_ALTRE_COMB_26"/>
      <sheetName val="ALLEST__ASSORBIMENTI26"/>
      <sheetName val="Optional_per_Versione26"/>
      <sheetName val="Griglia_Mondo_-_Mix26"/>
      <sheetName val="Griglia_Mondo_-_Mix_(2)27"/>
      <sheetName val="ALL_MERCATO-PTT-SCOCCA27"/>
      <sheetName val="ALLEST__MERCATI_ALTRE_COMB_27"/>
      <sheetName val="ALLEST__ASSORBIMENTI27"/>
      <sheetName val="Optional_per_Versione27"/>
      <sheetName val="Griglia_Mondo_-_Mix27"/>
      <sheetName val="Griglia_Mondo_-_Mix_(2)29"/>
      <sheetName val="ALL_MERCATO-PTT-SCOCCA29"/>
      <sheetName val="ALLEST__MERCATI_ALTRE_COMB_29"/>
      <sheetName val="ALLEST__ASSORBIMENTI29"/>
      <sheetName val="Optional_per_Versione29"/>
      <sheetName val="Griglia_Mondo_-_Mix29"/>
      <sheetName val="Griglia_Mondo_-_Mix_(2)28"/>
      <sheetName val="ALL_MERCATO-PTT-SCOCCA28"/>
      <sheetName val="ALLEST__MERCATI_ALTRE_COMB_28"/>
      <sheetName val="ALLEST__ASSORBIMENTI28"/>
      <sheetName val="Optional_per_Versione28"/>
      <sheetName val="Griglia_Mondo_-_Mix28"/>
      <sheetName val="Griglia_Mondo_-_Mix_(2)31"/>
      <sheetName val="ALL_MERCATO-PTT-SCOCCA31"/>
      <sheetName val="ALLEST__MERCATI_ALTRE_COMB_31"/>
      <sheetName val="ALLEST__ASSORBIMENTI31"/>
      <sheetName val="Optional_per_Versione31"/>
      <sheetName val="Griglia_Mondo_-_Mix31"/>
      <sheetName val="Griglia_Mondo_-_Mix_(2)30"/>
      <sheetName val="ALL_MERCATO-PTT-SCOCCA30"/>
      <sheetName val="ALLEST__MERCATI_ALTRE_COMB_30"/>
      <sheetName val="ALLEST__ASSORBIMENTI30"/>
      <sheetName val="Optional_per_Versione30"/>
      <sheetName val="Griglia_Mondo_-_Mix30"/>
      <sheetName val="Griglia_Mondo_-_Mix_(2)32"/>
      <sheetName val="ALL_MERCATO-PTT-SCOCCA32"/>
      <sheetName val="ALLEST__MERCATI_ALTRE_COMB_32"/>
      <sheetName val="ALLEST__ASSORBIMENTI32"/>
      <sheetName val="Optional_per_Versione32"/>
      <sheetName val="Griglia_Mondo_-_Mix32"/>
      <sheetName val="Griglia_Mondo_-_Mix_(2)33"/>
      <sheetName val="ALL_MERCATO-PTT-SCOCCA33"/>
      <sheetName val="ALLEST__MERCATI_ALTRE_COMB_33"/>
      <sheetName val="ALLEST__ASSORBIMENTI33"/>
      <sheetName val="Optional_per_Versione33"/>
      <sheetName val="Griglia_Mondo_-_Mix33"/>
      <sheetName val="Griglia_Mondo_-_Mix_(2)66"/>
      <sheetName val="ALL_MERCATO-PTT-SCOCCA66"/>
      <sheetName val="ALLEST__MERCATI_ALTRE_COMB_66"/>
      <sheetName val="ALLEST__ASSORBIMENTI66"/>
      <sheetName val="Optional_per_Versione66"/>
      <sheetName val="Griglia_Mondo_-_Mix66"/>
      <sheetName val="Griglia_Mondo_-_Mix_(2)57"/>
      <sheetName val="ALL_MERCATO-PTT-SCOCCA57"/>
      <sheetName val="ALLEST__MERCATI_ALTRE_COMB_57"/>
      <sheetName val="ALLEST__ASSORBIMENTI57"/>
      <sheetName val="Optional_per_Versione57"/>
      <sheetName val="Griglia_Mondo_-_Mix57"/>
      <sheetName val="Griglia_Mondo_-_Mix_(2)56"/>
      <sheetName val="ALL_MERCATO-PTT-SCOCCA56"/>
      <sheetName val="ALLEST__MERCATI_ALTRE_COMB_56"/>
      <sheetName val="ALLEST__ASSORBIMENTI56"/>
      <sheetName val="Optional_per_Versione56"/>
      <sheetName val="Griglia_Mondo_-_Mix56"/>
      <sheetName val="Griglia_Mondo_-_Mix_(2)39"/>
      <sheetName val="ALL_MERCATO-PTT-SCOCCA39"/>
      <sheetName val="ALLEST__MERCATI_ALTRE_COMB_39"/>
      <sheetName val="ALLEST__ASSORBIMENTI39"/>
      <sheetName val="Optional_per_Versione39"/>
      <sheetName val="Griglia_Mondo_-_Mix39"/>
      <sheetName val="Griglia_Mondo_-_Mix_(2)36"/>
      <sheetName val="ALL_MERCATO-PTT-SCOCCA36"/>
      <sheetName val="ALLEST__MERCATI_ALTRE_COMB_36"/>
      <sheetName val="ALLEST__ASSORBIMENTI36"/>
      <sheetName val="Optional_per_Versione36"/>
      <sheetName val="Griglia_Mondo_-_Mix36"/>
      <sheetName val="Griglia_Mondo_-_Mix_(2)35"/>
      <sheetName val="ALL_MERCATO-PTT-SCOCCA35"/>
      <sheetName val="ALLEST__MERCATI_ALTRE_COMB_35"/>
      <sheetName val="ALLEST__ASSORBIMENTI35"/>
      <sheetName val="Optional_per_Versione35"/>
      <sheetName val="Griglia_Mondo_-_Mix35"/>
      <sheetName val="Griglia_Mondo_-_Mix_(2)37"/>
      <sheetName val="ALL_MERCATO-PTT-SCOCCA37"/>
      <sheetName val="ALLEST__MERCATI_ALTRE_COMB_37"/>
      <sheetName val="ALLEST__ASSORBIMENTI37"/>
      <sheetName val="Optional_per_Versione37"/>
      <sheetName val="Griglia_Mondo_-_Mix37"/>
      <sheetName val="Griglia_Mondo_-_Mix_(2)38"/>
      <sheetName val="ALL_MERCATO-PTT-SCOCCA38"/>
      <sheetName val="ALLEST__MERCATI_ALTRE_COMB_38"/>
      <sheetName val="ALLEST__ASSORBIMENTI38"/>
      <sheetName val="Optional_per_Versione38"/>
      <sheetName val="Griglia_Mondo_-_Mix38"/>
      <sheetName val="Griglia_Mondo_-_Mix_(2)40"/>
      <sheetName val="ALL_MERCATO-PTT-SCOCCA40"/>
      <sheetName val="ALLEST__MERCATI_ALTRE_COMB_40"/>
      <sheetName val="ALLEST__ASSORBIMENTI40"/>
      <sheetName val="Optional_per_Versione40"/>
      <sheetName val="Griglia_Mondo_-_Mix40"/>
      <sheetName val="Griglia_Mondo_-_Mix_(2)41"/>
      <sheetName val="ALL_MERCATO-PTT-SCOCCA41"/>
      <sheetName val="ALLEST__MERCATI_ALTRE_COMB_41"/>
      <sheetName val="ALLEST__ASSORBIMENTI41"/>
      <sheetName val="Optional_per_Versione41"/>
      <sheetName val="Griglia_Mondo_-_Mix41"/>
      <sheetName val="Griglia_Mondo_-_Mix_(2)42"/>
      <sheetName val="ALL_MERCATO-PTT-SCOCCA42"/>
      <sheetName val="ALLEST__MERCATI_ALTRE_COMB_42"/>
      <sheetName val="ALLEST__ASSORBIMENTI42"/>
      <sheetName val="Optional_per_Versione42"/>
      <sheetName val="Griglia_Mondo_-_Mix42"/>
      <sheetName val="Griglia_Mondo_-_Mix_(2)43"/>
      <sheetName val="ALL_MERCATO-PTT-SCOCCA43"/>
      <sheetName val="ALLEST__MERCATI_ALTRE_COMB_43"/>
      <sheetName val="ALLEST__ASSORBIMENTI43"/>
      <sheetName val="Optional_per_Versione43"/>
      <sheetName val="Griglia_Mondo_-_Mix43"/>
      <sheetName val="Griglia_Mondo_-_Mix_(2)44"/>
      <sheetName val="ALL_MERCATO-PTT-SCOCCA44"/>
      <sheetName val="ALLEST__MERCATI_ALTRE_COMB_44"/>
      <sheetName val="ALLEST__ASSORBIMENTI44"/>
      <sheetName val="Optional_per_Versione44"/>
      <sheetName val="Griglia_Mondo_-_Mix44"/>
      <sheetName val="Griglia_Mondo_-_Mix_(2)47"/>
      <sheetName val="ALL_MERCATO-PTT-SCOCCA47"/>
      <sheetName val="ALLEST__MERCATI_ALTRE_COMB_47"/>
      <sheetName val="ALLEST__ASSORBIMENTI47"/>
      <sheetName val="Optional_per_Versione47"/>
      <sheetName val="Griglia_Mondo_-_Mix47"/>
      <sheetName val="Griglia_Mondo_-_Mix_(2)45"/>
      <sheetName val="ALL_MERCATO-PTT-SCOCCA45"/>
      <sheetName val="ALLEST__MERCATI_ALTRE_COMB_45"/>
      <sheetName val="ALLEST__ASSORBIMENTI45"/>
      <sheetName val="Optional_per_Versione45"/>
      <sheetName val="Griglia_Mondo_-_Mix45"/>
      <sheetName val="Griglia_Mondo_-_Mix_(2)46"/>
      <sheetName val="ALL_MERCATO-PTT-SCOCCA46"/>
      <sheetName val="ALLEST__MERCATI_ALTRE_COMB_46"/>
      <sheetName val="ALLEST__ASSORBIMENTI46"/>
      <sheetName val="Optional_per_Versione46"/>
      <sheetName val="Griglia_Mondo_-_Mix46"/>
      <sheetName val="Griglia_Mondo_-_Mix_(2)48"/>
      <sheetName val="ALL_MERCATO-PTT-SCOCCA48"/>
      <sheetName val="ALLEST__MERCATI_ALTRE_COMB_48"/>
      <sheetName val="ALLEST__ASSORBIMENTI48"/>
      <sheetName val="Optional_per_Versione48"/>
      <sheetName val="Griglia_Mondo_-_Mix48"/>
      <sheetName val="Griglia_Mondo_-_Mix_(2)50"/>
      <sheetName val="ALL_MERCATO-PTT-SCOCCA50"/>
      <sheetName val="ALLEST__MERCATI_ALTRE_COMB_50"/>
      <sheetName val="ALLEST__ASSORBIMENTI50"/>
      <sheetName val="Optional_per_Versione50"/>
      <sheetName val="Griglia_Mondo_-_Mix50"/>
      <sheetName val="Griglia_Mondo_-_Mix_(2)49"/>
      <sheetName val="ALL_MERCATO-PTT-SCOCCA49"/>
      <sheetName val="ALLEST__MERCATI_ALTRE_COMB_49"/>
      <sheetName val="ALLEST__ASSORBIMENTI49"/>
      <sheetName val="Optional_per_Versione49"/>
      <sheetName val="Griglia_Mondo_-_Mix49"/>
      <sheetName val="Griglia_Mondo_-_Mix_(2)51"/>
      <sheetName val="ALL_MERCATO-PTT-SCOCCA51"/>
      <sheetName val="ALLEST__MERCATI_ALTRE_COMB_51"/>
      <sheetName val="ALLEST__ASSORBIMENTI51"/>
      <sheetName val="Optional_per_Versione51"/>
      <sheetName val="Griglia_Mondo_-_Mix51"/>
      <sheetName val="Griglia_Mondo_-_Mix_(2)53"/>
      <sheetName val="ALL_MERCATO-PTT-SCOCCA53"/>
      <sheetName val="ALLEST__MERCATI_ALTRE_COMB_53"/>
      <sheetName val="ALLEST__ASSORBIMENTI53"/>
      <sheetName val="Optional_per_Versione53"/>
      <sheetName val="Griglia_Mondo_-_Mix53"/>
      <sheetName val="Griglia_Mondo_-_Mix_(2)52"/>
      <sheetName val="ALL_MERCATO-PTT-SCOCCA52"/>
      <sheetName val="ALLEST__MERCATI_ALTRE_COMB_52"/>
      <sheetName val="ALLEST__ASSORBIMENTI52"/>
      <sheetName val="Optional_per_Versione52"/>
      <sheetName val="Griglia_Mondo_-_Mix52"/>
      <sheetName val="Griglia_Mondo_-_Mix_(2)54"/>
      <sheetName val="ALL_MERCATO-PTT-SCOCCA54"/>
      <sheetName val="ALLEST__MERCATI_ALTRE_COMB_54"/>
      <sheetName val="ALLEST__ASSORBIMENTI54"/>
      <sheetName val="Optional_per_Versione54"/>
      <sheetName val="Griglia_Mondo_-_Mix54"/>
      <sheetName val="Griglia_Mondo_-_Mix_(2)55"/>
      <sheetName val="ALL_MERCATO-PTT-SCOCCA55"/>
      <sheetName val="ALLEST__MERCATI_ALTRE_COMB_55"/>
      <sheetName val="ALLEST__ASSORBIMENTI55"/>
      <sheetName val="Optional_per_Versione55"/>
      <sheetName val="Griglia_Mondo_-_Mix55"/>
      <sheetName val="Griglia_Mondo_-_Mix_(2)61"/>
      <sheetName val="ALL_MERCATO-PTT-SCOCCA61"/>
      <sheetName val="ALLEST__MERCATI_ALTRE_COMB_61"/>
      <sheetName val="ALLEST__ASSORBIMENTI61"/>
      <sheetName val="Optional_per_Versione61"/>
      <sheetName val="Griglia_Mondo_-_Mix61"/>
      <sheetName val="Griglia_Mondo_-_Mix_(2)60"/>
      <sheetName val="ALL_MERCATO-PTT-SCOCCA60"/>
      <sheetName val="ALLEST__MERCATI_ALTRE_COMB_60"/>
      <sheetName val="ALLEST__ASSORBIMENTI60"/>
      <sheetName val="Optional_per_Versione60"/>
      <sheetName val="Griglia_Mondo_-_Mix60"/>
      <sheetName val="Griglia_Mondo_-_Mix_(2)58"/>
      <sheetName val="ALL_MERCATO-PTT-SCOCCA58"/>
      <sheetName val="ALLEST__MERCATI_ALTRE_COMB_58"/>
      <sheetName val="ALLEST__ASSORBIMENTI58"/>
      <sheetName val="Optional_per_Versione58"/>
      <sheetName val="Griglia_Mondo_-_Mix58"/>
      <sheetName val="Griglia_Mondo_-_Mix_(2)59"/>
      <sheetName val="ALL_MERCATO-PTT-SCOCCA59"/>
      <sheetName val="ALLEST__MERCATI_ALTRE_COMB_59"/>
      <sheetName val="ALLEST__ASSORBIMENTI59"/>
      <sheetName val="Optional_per_Versione59"/>
      <sheetName val="Griglia_Mondo_-_Mix59"/>
      <sheetName val="Griglia_Mondo_-_Mix_(2)62"/>
      <sheetName val="ALL_MERCATO-PTT-SCOCCA62"/>
      <sheetName val="ALLEST__MERCATI_ALTRE_COMB_62"/>
      <sheetName val="ALLEST__ASSORBIMENTI62"/>
      <sheetName val="Optional_per_Versione62"/>
      <sheetName val="Griglia_Mondo_-_Mix62"/>
      <sheetName val="Griglia_Mondo_-_Mix_(2)63"/>
      <sheetName val="ALL_MERCATO-PTT-SCOCCA63"/>
      <sheetName val="ALLEST__MERCATI_ALTRE_COMB_63"/>
      <sheetName val="ALLEST__ASSORBIMENTI63"/>
      <sheetName val="Optional_per_Versione63"/>
      <sheetName val="Griglia_Mondo_-_Mix63"/>
      <sheetName val="Griglia_Mondo_-_Mix_(2)64"/>
      <sheetName val="ALL_MERCATO-PTT-SCOCCA64"/>
      <sheetName val="ALLEST__MERCATI_ALTRE_COMB_64"/>
      <sheetName val="ALLEST__ASSORBIMENTI64"/>
      <sheetName val="Optional_per_Versione64"/>
      <sheetName val="Griglia_Mondo_-_Mix64"/>
      <sheetName val="Griglia_Mondo_-_Mix_(2)65"/>
      <sheetName val="ALL_MERCATO-PTT-SCOCCA65"/>
      <sheetName val="ALLEST__MERCATI_ALTRE_COMB_65"/>
      <sheetName val="ALLEST__ASSORBIMENTI65"/>
      <sheetName val="Optional_per_Versione65"/>
      <sheetName val="Griglia_Mondo_-_Mix65"/>
      <sheetName val="Griglia_Mondo_-_Mix_(2)67"/>
      <sheetName val="ALL_MERCATO-PTT-SCOCCA67"/>
      <sheetName val="ALLEST__MERCATI_ALTRE_COMB_67"/>
      <sheetName val="ALLEST__ASSORBIMENTI67"/>
      <sheetName val="Optional_per_Versione67"/>
      <sheetName val="Griglia_Mondo_-_Mix67"/>
      <sheetName val="Griglia_Mondo_-_Mix_(2)69"/>
      <sheetName val="ALL_MERCATO-PTT-SCOCCA69"/>
      <sheetName val="ALLEST__MERCATI_ALTRE_COMB_69"/>
      <sheetName val="ALLEST__ASSORBIMENTI69"/>
      <sheetName val="Optional_per_Versione69"/>
      <sheetName val="Griglia_Mondo_-_Mix69"/>
      <sheetName val="Griglia_Mondo_-_Mix_(2)68"/>
      <sheetName val="ALL_MERCATO-PTT-SCOCCA68"/>
      <sheetName val="ALLEST__MERCATI_ALTRE_COMB_68"/>
      <sheetName val="ALLEST__ASSORBIMENTI68"/>
      <sheetName val="Optional_per_Versione68"/>
      <sheetName val="Griglia_Mondo_-_Mix68"/>
      <sheetName val="Griglia_Mondo_-_Mix_(2)70"/>
      <sheetName val="ALL_MERCATO-PTT-SCOCCA70"/>
      <sheetName val="ALLEST__MERCATI_ALTRE_COMB_70"/>
      <sheetName val="ALLEST__ASSORBIMENTI70"/>
      <sheetName val="Optional_per_Versione70"/>
      <sheetName val="Griglia_Mondo_-_Mix70"/>
      <sheetName val="Griglia_Mondo_-_Mix_(2)73"/>
      <sheetName val="ALL_MERCATO-PTT-SCOCCA73"/>
      <sheetName val="ALLEST__MERCATI_ALTRE_COMB_73"/>
      <sheetName val="ALLEST__ASSORBIMENTI73"/>
      <sheetName val="Optional_per_Versione73"/>
      <sheetName val="Griglia_Mondo_-_Mix73"/>
      <sheetName val="Griglia_Mondo_-_Mix_(2)74"/>
      <sheetName val="ALL_MERCATO-PTT-SCOCCA74"/>
      <sheetName val="ALLEST__MERCATI_ALTRE_COMB_74"/>
      <sheetName val="ALLEST__ASSORBIMENTI74"/>
      <sheetName val="Optional_per_Versione74"/>
      <sheetName val="Griglia_Mondo_-_Mix74"/>
      <sheetName val="Griglia_Mondo_-_Mix_(2)75"/>
      <sheetName val="ALL_MERCATO-PTT-SCOCCA75"/>
      <sheetName val="ALLEST__MERCATI_ALTRE_COMB_75"/>
      <sheetName val="ALLEST__ASSORBIMENTI75"/>
      <sheetName val="Optional_per_Versione75"/>
      <sheetName val="Griglia_Mondo_-_Mix75"/>
      <sheetName val="Griglia_Mondo_-_Mix_(2)97"/>
      <sheetName val="ALL_MERCATO-PTT-SCOCCA97"/>
      <sheetName val="ALLEST__MERCATI_ALTRE_COMB_97"/>
      <sheetName val="ALLEST__ASSORBIMENTI97"/>
      <sheetName val="Optional_per_Versione97"/>
      <sheetName val="Griglia_Mondo_-_Mix97"/>
      <sheetName val="Griglia_Mondo_-_Mix_(2)96"/>
      <sheetName val="ALL_MERCATO-PTT-SCOCCA96"/>
      <sheetName val="ALLEST__MERCATI_ALTRE_COMB_96"/>
      <sheetName val="ALLEST__ASSORBIMENTI96"/>
      <sheetName val="Optional_per_Versione96"/>
      <sheetName val="Griglia_Mondo_-_Mix96"/>
      <sheetName val="Griglia_Mondo_-_Mix_(2)76"/>
      <sheetName val="ALL_MERCATO-PTT-SCOCCA76"/>
      <sheetName val="ALLEST__MERCATI_ALTRE_COMB_76"/>
      <sheetName val="ALLEST__ASSORBIMENTI76"/>
      <sheetName val="Optional_per_Versione76"/>
      <sheetName val="Griglia_Mondo_-_Mix76"/>
      <sheetName val="Griglia_Mondo_-_Mix_(2)94"/>
      <sheetName val="ALL_MERCATO-PTT-SCOCCA94"/>
      <sheetName val="ALLEST__MERCATI_ALTRE_COMB_94"/>
      <sheetName val="ALLEST__ASSORBIMENTI94"/>
      <sheetName val="Optional_per_Versione94"/>
      <sheetName val="Griglia_Mondo_-_Mix94"/>
      <sheetName val="Griglia_Mondo_-_Mix_(2)93"/>
      <sheetName val="ALL_MERCATO-PTT-SCOCCA93"/>
      <sheetName val="ALLEST__MERCATI_ALTRE_COMB_93"/>
      <sheetName val="ALLEST__ASSORBIMENTI93"/>
      <sheetName val="Optional_per_Versione93"/>
      <sheetName val="Griglia_Mondo_-_Mix93"/>
      <sheetName val="Griglia_Mondo_-_Mix_(2)91"/>
      <sheetName val="ALL_MERCATO-PTT-SCOCCA91"/>
      <sheetName val="ALLEST__MERCATI_ALTRE_COMB_91"/>
      <sheetName val="ALLEST__ASSORBIMENTI91"/>
      <sheetName val="Optional_per_Versione91"/>
      <sheetName val="Griglia_Mondo_-_Mix91"/>
      <sheetName val="Griglia_Mondo_-_Mix_(2)87"/>
      <sheetName val="ALL_MERCATO-PTT-SCOCCA87"/>
      <sheetName val="ALLEST__MERCATI_ALTRE_COMB_87"/>
      <sheetName val="ALLEST__ASSORBIMENTI87"/>
      <sheetName val="Optional_per_Versione87"/>
      <sheetName val="Griglia_Mondo_-_Mix87"/>
      <sheetName val="Griglia_Mondo_-_Mix_(2)78"/>
      <sheetName val="ALL_MERCATO-PTT-SCOCCA78"/>
      <sheetName val="ALLEST__MERCATI_ALTRE_COMB_78"/>
      <sheetName val="ALLEST__ASSORBIMENTI78"/>
      <sheetName val="Optional_per_Versione78"/>
      <sheetName val="Griglia_Mondo_-_Mix78"/>
      <sheetName val="Griglia_Mondo_-_Mix_(2)77"/>
      <sheetName val="ALL_MERCATO-PTT-SCOCCA77"/>
      <sheetName val="ALLEST__MERCATI_ALTRE_COMB_77"/>
      <sheetName val="ALLEST__ASSORBIMENTI77"/>
      <sheetName val="Optional_per_Versione77"/>
      <sheetName val="Griglia_Mondo_-_Mix77"/>
      <sheetName val="Griglia_Mondo_-_Mix_(2)82"/>
      <sheetName val="ALL_MERCATO-PTT-SCOCCA82"/>
      <sheetName val="ALLEST__MERCATI_ALTRE_COMB_82"/>
      <sheetName val="ALLEST__ASSORBIMENTI82"/>
      <sheetName val="Optional_per_Versione82"/>
      <sheetName val="Griglia_Mondo_-_Mix82"/>
      <sheetName val="Griglia_Mondo_-_Mix_(2)81"/>
      <sheetName val="ALL_MERCATO-PTT-SCOCCA81"/>
      <sheetName val="ALLEST__MERCATI_ALTRE_COMB_81"/>
      <sheetName val="ALLEST__ASSORBIMENTI81"/>
      <sheetName val="Optional_per_Versione81"/>
      <sheetName val="Griglia_Mondo_-_Mix81"/>
      <sheetName val="Griglia_Mondo_-_Mix_(2)79"/>
      <sheetName val="ALL_MERCATO-PTT-SCOCCA79"/>
      <sheetName val="ALLEST__MERCATI_ALTRE_COMB_79"/>
      <sheetName val="ALLEST__ASSORBIMENTI79"/>
      <sheetName val="Optional_per_Versione79"/>
      <sheetName val="Griglia_Mondo_-_Mix79"/>
      <sheetName val="Griglia_Mondo_-_Mix_(2)80"/>
      <sheetName val="ALL_MERCATO-PTT-SCOCCA80"/>
      <sheetName val="ALLEST__MERCATI_ALTRE_COMB_80"/>
      <sheetName val="ALLEST__ASSORBIMENTI80"/>
      <sheetName val="Optional_per_Versione80"/>
      <sheetName val="Griglia_Mondo_-_Mix80"/>
      <sheetName val="Griglia_Mondo_-_Mix_(2)83"/>
      <sheetName val="ALL_MERCATO-PTT-SCOCCA83"/>
      <sheetName val="ALLEST__MERCATI_ALTRE_COMB_83"/>
      <sheetName val="ALLEST__ASSORBIMENTI83"/>
      <sheetName val="Optional_per_Versione83"/>
      <sheetName val="Griglia_Mondo_-_Mix83"/>
      <sheetName val="Griglia_Mondo_-_Mix_(2)84"/>
      <sheetName val="ALL_MERCATO-PTT-SCOCCA84"/>
      <sheetName val="ALLEST__MERCATI_ALTRE_COMB_84"/>
      <sheetName val="ALLEST__ASSORBIMENTI84"/>
      <sheetName val="Optional_per_Versione84"/>
      <sheetName val="Griglia_Mondo_-_Mix84"/>
      <sheetName val="Griglia_Mondo_-_Mix_(2)86"/>
      <sheetName val="ALL_MERCATO-PTT-SCOCCA86"/>
      <sheetName val="ALLEST__MERCATI_ALTRE_COMB_86"/>
      <sheetName val="ALLEST__ASSORBIMENTI86"/>
      <sheetName val="Optional_per_Versione86"/>
      <sheetName val="Griglia_Mondo_-_Mix86"/>
      <sheetName val="Griglia_Mondo_-_Mix_(2)85"/>
      <sheetName val="ALL_MERCATO-PTT-SCOCCA85"/>
      <sheetName val="ALLEST__MERCATI_ALTRE_COMB_85"/>
      <sheetName val="ALLEST__ASSORBIMENTI85"/>
      <sheetName val="Optional_per_Versione85"/>
      <sheetName val="Griglia_Mondo_-_Mix85"/>
      <sheetName val="Griglia_Mondo_-_Mix_(2)88"/>
      <sheetName val="ALL_MERCATO-PTT-SCOCCA88"/>
      <sheetName val="ALLEST__MERCATI_ALTRE_COMB_88"/>
      <sheetName val="ALLEST__ASSORBIMENTI88"/>
      <sheetName val="Optional_per_Versione88"/>
      <sheetName val="Griglia_Mondo_-_Mix88"/>
      <sheetName val="Griglia_Mondo_-_Mix_(2)89"/>
      <sheetName val="ALL_MERCATO-PTT-SCOCCA89"/>
      <sheetName val="ALLEST__MERCATI_ALTRE_COMB_89"/>
      <sheetName val="ALLEST__ASSORBIMENTI89"/>
      <sheetName val="Optional_per_Versione89"/>
      <sheetName val="Griglia_Mondo_-_Mix89"/>
      <sheetName val="Griglia_Mondo_-_Mix_(2)90"/>
      <sheetName val="ALL_MERCATO-PTT-SCOCCA90"/>
      <sheetName val="ALLEST__MERCATI_ALTRE_COMB_90"/>
      <sheetName val="ALLEST__ASSORBIMENTI90"/>
      <sheetName val="Optional_per_Versione90"/>
      <sheetName val="Griglia_Mondo_-_Mix90"/>
      <sheetName val="Griglia_Mondo_-_Mix_(2)92"/>
      <sheetName val="ALL_MERCATO-PTT-SCOCCA92"/>
      <sheetName val="ALLEST__MERCATI_ALTRE_COMB_92"/>
      <sheetName val="ALLEST__ASSORBIMENTI92"/>
      <sheetName val="Optional_per_Versione92"/>
      <sheetName val="Griglia_Mondo_-_Mix92"/>
      <sheetName val="Griglia_Mondo_-_Mix_(2)95"/>
      <sheetName val="ALL_MERCATO-PTT-SCOCCA95"/>
      <sheetName val="ALLEST__MERCATI_ALTRE_COMB_95"/>
      <sheetName val="ALLEST__ASSORBIMENTI95"/>
      <sheetName val="Optional_per_Versione95"/>
      <sheetName val="Griglia_Mondo_-_Mix95"/>
      <sheetName val="Griglia_Mondo_-_Mix_(2)100"/>
      <sheetName val="ALL_MERCATO-PTT-SCOCCA100"/>
      <sheetName val="ALLEST__MERCATI_ALTRE_COMB_100"/>
      <sheetName val="ALLEST__ASSORBIMENTI100"/>
      <sheetName val="Optional_per_Versione100"/>
      <sheetName val="Griglia_Mondo_-_Mix100"/>
      <sheetName val="Griglia_Mondo_-_Mix_(2)101"/>
      <sheetName val="ALL_MERCATO-PTT-SCOCCA101"/>
      <sheetName val="ALLEST__MERCATI_ALTRE_COMB_101"/>
      <sheetName val="ALLEST__ASSORBIMENTI101"/>
      <sheetName val="Optional_per_Versione101"/>
      <sheetName val="Griglia_Mondo_-_Mix101"/>
      <sheetName val="Griglia_Mondo_-_Mix_(2)102"/>
      <sheetName val="ALL_MERCATO-PTT-SCOCCA102"/>
      <sheetName val="ALLEST__MERCATI_ALTRE_COMB_102"/>
      <sheetName val="ALLEST__ASSORBIMENTI102"/>
      <sheetName val="Optional_per_Versione102"/>
      <sheetName val="Griglia_Mondo_-_Mix102"/>
      <sheetName val="Griglia_Mondo_-_Mix_(2)103"/>
      <sheetName val="ALL_MERCATO-PTT-SCOCCA103"/>
      <sheetName val="ALLEST__MERCATI_ALTRE_COMB_103"/>
      <sheetName val="ALLEST__ASSORBIMENTI103"/>
      <sheetName val="Optional_per_Versione103"/>
      <sheetName val="Griglia_Mondo_-_Mix103"/>
      <sheetName val="Griglia_Mondo_-_Mix_(2)105"/>
      <sheetName val="ALL_MERCATO-PTT-SCOCCA105"/>
      <sheetName val="ALLEST__MERCATI_ALTRE_COMB_105"/>
      <sheetName val="ALLEST__ASSORBIMENTI105"/>
      <sheetName val="Optional_per_Versione105"/>
      <sheetName val="Griglia_Mondo_-_Mix105"/>
      <sheetName val="Griglia_Mondo_-_Mix_(2)104"/>
      <sheetName val="ALL_MERCATO-PTT-SCOCCA104"/>
      <sheetName val="ALLEST__MERCATI_ALTRE_COMB_104"/>
      <sheetName val="ALLEST__ASSORBIMENTI104"/>
      <sheetName val="Optional_per_Versione104"/>
      <sheetName val="Griglia_Mondo_-_Mix104"/>
      <sheetName val="Griglia_Mondo_-_Mix_(2)106"/>
      <sheetName val="ALL_MERCATO-PTT-SCOCCA106"/>
      <sheetName val="ALLEST__MERCATI_ALTRE_COMB_106"/>
      <sheetName val="ALLEST__ASSORBIMENTI106"/>
      <sheetName val="Optional_per_Versione106"/>
      <sheetName val="Griglia_Mondo_-_Mix106"/>
      <sheetName val="Griglia_Mondo_-_Mix_(2)107"/>
      <sheetName val="ALL_MERCATO-PTT-SCOCCA107"/>
      <sheetName val="ALLEST__MERCATI_ALTRE_COMB_107"/>
      <sheetName val="ALLEST__ASSORBIMENTI107"/>
      <sheetName val="Optional_per_Versione107"/>
      <sheetName val="Griglia_Mondo_-_Mix107"/>
      <sheetName val="Griglia_Mondo_-_Mix_(2)108"/>
      <sheetName val="ALL_MERCATO-PTT-SCOCCA108"/>
      <sheetName val="ALLEST__MERCATI_ALTRE_COMB_108"/>
      <sheetName val="ALLEST__ASSORBIMENTI108"/>
      <sheetName val="Optional_per_Versione108"/>
      <sheetName val="Griglia_Mondo_-_Mix108"/>
      <sheetName val="Griglia_Mondo_-_Mix_(2)109"/>
      <sheetName val="ALL_MERCATO-PTT-SCOCCA109"/>
      <sheetName val="ALLEST__MERCATI_ALTRE_COMB_109"/>
      <sheetName val="ALLEST__ASSORBIMENTI109"/>
      <sheetName val="Optional_per_Versione109"/>
      <sheetName val="Griglia_Mondo_-_Mix109"/>
      <sheetName val="Griglia_Mondo_-_Mix_(2)110"/>
      <sheetName val="ALL_MERCATO-PTT-SCOCCA110"/>
      <sheetName val="ALLEST__MERCATI_ALTRE_COMB_110"/>
      <sheetName val="ALLEST__ASSORBIMENTI110"/>
      <sheetName val="Optional_per_Versione110"/>
      <sheetName val="Griglia_Mondo_-_Mix110"/>
      <sheetName val="Griglia_Mondo_-_Mix_(2)111"/>
      <sheetName val="ALL_MERCATO-PTT-SCOCCA111"/>
      <sheetName val="ALLEST__MERCATI_ALTRE_COMB_111"/>
      <sheetName val="ALLEST__ASSORBIMENTI111"/>
      <sheetName val="Optional_per_Versione111"/>
      <sheetName val="Griglia_Mondo_-_Mix111"/>
      <sheetName val="Griglia_Mondo_-_Mix_(2)112"/>
      <sheetName val="ALL_MERCATO-PTT-SCOCCA112"/>
      <sheetName val="ALLEST__MERCATI_ALTRE_COMB_112"/>
      <sheetName val="ALLEST__ASSORBIMENTI112"/>
      <sheetName val="Optional_per_Versione112"/>
      <sheetName val="Griglia_Mondo_-_Mix112"/>
      <sheetName val="Griglia_Mondo_-_Mix_(2)113"/>
      <sheetName val="ALL_MERCATO-PTT-SCOCCA113"/>
      <sheetName val="ALLEST__MERCATI_ALTRE_COMB_113"/>
      <sheetName val="ALLEST__ASSORBIMENTI113"/>
      <sheetName val="Optional_per_Versione113"/>
      <sheetName val="Griglia_Mondo_-_Mix113"/>
      <sheetName val="Griglia_Mondo_-_Mix_(2)114"/>
      <sheetName val="ALL_MERCATO-PTT-SCOCCA114"/>
      <sheetName val="ALLEST__MERCATI_ALTRE_COMB_114"/>
      <sheetName val="ALLEST__ASSORBIMENTI114"/>
      <sheetName val="Optional_per_Versione114"/>
      <sheetName val="Griglia_Mondo_-_Mix114"/>
      <sheetName val="Griglia_Mondo_-_Mix_(2)115"/>
      <sheetName val="ALL_MERCATO-PTT-SCOCCA115"/>
      <sheetName val="ALLEST__MERCATI_ALTRE_COMB_115"/>
      <sheetName val="ALLEST__ASSORBIMENTI115"/>
      <sheetName val="Optional_per_Versione115"/>
      <sheetName val="Griglia_Mondo_-_Mix115"/>
      <sheetName val="Griglia_Mondo_-_Mix_(2)116"/>
      <sheetName val="ALL_MERCATO-PTT-SCOCCA116"/>
      <sheetName val="ALLEST__MERCATI_ALTRE_COMB_116"/>
      <sheetName val="ALLEST__ASSORBIMENTI116"/>
      <sheetName val="Optional_per_Versione116"/>
      <sheetName val="Griglia_Mondo_-_Mix116"/>
      <sheetName val="Griglia_Mondo_-_Mix_(2)125"/>
      <sheetName val="ALL_MERCATO-PTT-SCOCCA125"/>
      <sheetName val="ALLEST__MERCATI_ALTRE_COMB_125"/>
      <sheetName val="ALLEST__ASSORBIMENTI125"/>
      <sheetName val="Optional_per_Versione125"/>
      <sheetName val="Griglia_Mondo_-_Mix125"/>
      <sheetName val="Griglia_Mondo_-_Mix_(2)119"/>
      <sheetName val="ALL_MERCATO-PTT-SCOCCA119"/>
      <sheetName val="ALLEST__MERCATI_ALTRE_COMB_119"/>
      <sheetName val="ALLEST__ASSORBIMENTI119"/>
      <sheetName val="Optional_per_Versione119"/>
      <sheetName val="Griglia_Mondo_-_Mix119"/>
      <sheetName val="Griglia_Mondo_-_Mix_(2)117"/>
      <sheetName val="ALL_MERCATO-PTT-SCOCCA117"/>
      <sheetName val="ALLEST__MERCATI_ALTRE_COMB_117"/>
      <sheetName val="ALLEST__ASSORBIMENTI117"/>
      <sheetName val="Optional_per_Versione117"/>
      <sheetName val="Griglia_Mondo_-_Mix117"/>
      <sheetName val="Griglia_Mondo_-_Mix_(2)118"/>
      <sheetName val="ALL_MERCATO-PTT-SCOCCA118"/>
      <sheetName val="ALLEST__MERCATI_ALTRE_COMB_118"/>
      <sheetName val="ALLEST__ASSORBIMENTI118"/>
      <sheetName val="Optional_per_Versione118"/>
      <sheetName val="Griglia_Mondo_-_Mix118"/>
      <sheetName val="Griglia_Mondo_-_Mix_(2)120"/>
      <sheetName val="ALL_MERCATO-PTT-SCOCCA120"/>
      <sheetName val="ALLEST__MERCATI_ALTRE_COMB_120"/>
      <sheetName val="ALLEST__ASSORBIMENTI120"/>
      <sheetName val="Optional_per_Versione120"/>
      <sheetName val="Griglia_Mondo_-_Mix120"/>
      <sheetName val="Griglia_Mondo_-_Mix_(2)121"/>
      <sheetName val="ALL_MERCATO-PTT-SCOCCA121"/>
      <sheetName val="ALLEST__MERCATI_ALTRE_COMB_121"/>
      <sheetName val="ALLEST__ASSORBIMENTI121"/>
      <sheetName val="Optional_per_Versione121"/>
      <sheetName val="Griglia_Mondo_-_Mix121"/>
      <sheetName val="Griglia_Mondo_-_Mix_(2)122"/>
      <sheetName val="ALL_MERCATO-PTT-SCOCCA122"/>
      <sheetName val="ALLEST__MERCATI_ALTRE_COMB_122"/>
      <sheetName val="ALLEST__ASSORBIMENTI122"/>
      <sheetName val="Optional_per_Versione122"/>
      <sheetName val="Griglia_Mondo_-_Mix122"/>
      <sheetName val="Griglia_Mondo_-_Mix_(2)123"/>
      <sheetName val="ALL_MERCATO-PTT-SCOCCA123"/>
      <sheetName val="ALLEST__MERCATI_ALTRE_COMB_123"/>
      <sheetName val="ALLEST__ASSORBIMENTI123"/>
      <sheetName val="Optional_per_Versione123"/>
      <sheetName val="Griglia_Mondo_-_Mix123"/>
      <sheetName val="Griglia_Mondo_-_Mix_(2)124"/>
      <sheetName val="ALL_MERCATO-PTT-SCOCCA124"/>
      <sheetName val="ALLEST__MERCATI_ALTRE_COMB_124"/>
      <sheetName val="ALLEST__ASSORBIMENTI124"/>
      <sheetName val="Optional_per_Versione124"/>
      <sheetName val="Griglia_Mondo_-_Mix124"/>
      <sheetName val="Griglia_Mondo_-_Mix_(2)127"/>
      <sheetName val="ALL_MERCATO-PTT-SCOCCA127"/>
      <sheetName val="ALLEST__MERCATI_ALTRE_COMB_127"/>
      <sheetName val="ALLEST__ASSORBIMENTI127"/>
      <sheetName val="Optional_per_Versione127"/>
      <sheetName val="Griglia_Mondo_-_Mix127"/>
      <sheetName val="Griglia_Mondo_-_Mix_(2)126"/>
      <sheetName val="ALL_MERCATO-PTT-SCOCCA126"/>
      <sheetName val="ALLEST__MERCATI_ALTRE_COMB_126"/>
      <sheetName val="ALLEST__ASSORBIMENTI126"/>
      <sheetName val="Optional_per_Versione126"/>
      <sheetName val="Griglia_Mondo_-_Mix126"/>
      <sheetName val="Griglia_Mondo_-_Mix_(2)128"/>
      <sheetName val="ALL_MERCATO-PTT-SCOCCA128"/>
      <sheetName val="ALLEST__MERCATI_ALTRE_COMB_128"/>
      <sheetName val="ALLEST__ASSORBIMENTI128"/>
      <sheetName val="Optional_per_Versione128"/>
      <sheetName val="Griglia_Mondo_-_Mix128"/>
      <sheetName val="Griglia_Mondo_-_Mix_(2)129"/>
      <sheetName val="ALL_MERCATO-PTT-SCOCCA129"/>
      <sheetName val="ALLEST__MERCATI_ALTRE_COMB_129"/>
      <sheetName val="ALLEST__ASSORBIMENTI129"/>
      <sheetName val="Optional_per_Versione129"/>
      <sheetName val="Griglia_Mondo_-_Mix129"/>
      <sheetName val="GlobalData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X2/50         Serie 0</v>
          </cell>
        </row>
        <row r="3">
          <cell r="A3" t="str">
            <v>Piattaforma</v>
          </cell>
          <cell r="D3" t="str">
            <v>Anno Comm. 2007</v>
          </cell>
          <cell r="I3" t="str">
            <v>Settembre 02</v>
          </cell>
        </row>
        <row r="5">
          <cell r="D5" t="str">
            <v>GRIGLIA MONDO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93"/>
  <sheetViews>
    <sheetView tabSelected="1" topLeftCell="C1" zoomScaleNormal="100" workbookViewId="0">
      <selection activeCell="E36" sqref="E36"/>
    </sheetView>
  </sheetViews>
  <sheetFormatPr defaultColWidth="9.33203125" defaultRowHeight="12.6" x14ac:dyDescent="0.2"/>
  <cols>
    <col min="1" max="2" width="47.6640625" style="11" customWidth="1"/>
    <col min="3" max="4" width="11.6640625" style="3" customWidth="1"/>
    <col min="5" max="5" width="9.109375" style="6" customWidth="1"/>
    <col min="6" max="41" width="9.33203125" style="6" customWidth="1"/>
    <col min="42" max="16384" width="9.33203125" style="6"/>
  </cols>
  <sheetData>
    <row r="1" spans="1:41" ht="19.5" customHeight="1" x14ac:dyDescent="0.2">
      <c r="A1" s="1" t="s">
        <v>0</v>
      </c>
      <c r="B1" s="2" t="s">
        <v>1</v>
      </c>
      <c r="E1" s="4" t="s">
        <v>2</v>
      </c>
      <c r="F1" s="4" t="s">
        <v>2</v>
      </c>
      <c r="G1" s="5" t="s">
        <v>3</v>
      </c>
      <c r="J1" s="7" t="s">
        <v>2</v>
      </c>
      <c r="K1" s="5" t="s">
        <v>4</v>
      </c>
      <c r="R1" s="8" t="s">
        <v>2</v>
      </c>
      <c r="S1" s="5" t="s">
        <v>5</v>
      </c>
      <c r="AA1" s="9" t="s">
        <v>2</v>
      </c>
      <c r="AB1" s="6" t="s">
        <v>6</v>
      </c>
    </row>
    <row r="2" spans="1:41" x14ac:dyDescent="0.2">
      <c r="A2" s="10"/>
    </row>
    <row r="3" spans="1:41" s="5" customFormat="1" ht="19.5" customHeight="1" x14ac:dyDescent="0.3">
      <c r="A3" s="1" t="s">
        <v>7</v>
      </c>
      <c r="B3" s="2" t="s">
        <v>8</v>
      </c>
      <c r="C3" s="3"/>
      <c r="D3" s="3"/>
      <c r="E3" s="12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3"/>
    </row>
    <row r="4" spans="1:41" s="5" customFormat="1" ht="19.5" customHeight="1" x14ac:dyDescent="0.3">
      <c r="A4" s="1" t="s">
        <v>10</v>
      </c>
      <c r="B4" s="2" t="s">
        <v>11</v>
      </c>
      <c r="C4" s="3"/>
      <c r="D4" s="3"/>
      <c r="E4" s="14" t="s">
        <v>12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4" t="s">
        <v>13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  <c r="AO4" s="13"/>
    </row>
    <row r="5" spans="1:41" ht="19.5" customHeight="1" x14ac:dyDescent="0.2">
      <c r="A5" s="17" t="s">
        <v>14</v>
      </c>
      <c r="B5" s="18" t="s">
        <v>15</v>
      </c>
      <c r="E5" s="19">
        <v>2800</v>
      </c>
      <c r="F5" s="19">
        <v>3000</v>
      </c>
      <c r="G5" s="20">
        <v>3300</v>
      </c>
      <c r="H5" s="21"/>
      <c r="I5" s="21"/>
      <c r="J5" s="20" t="s">
        <v>16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2" t="s">
        <v>17</v>
      </c>
      <c r="V5" s="21"/>
      <c r="W5" s="21"/>
      <c r="X5" s="21"/>
      <c r="Y5" s="21"/>
      <c r="Z5" s="21"/>
      <c r="AA5" s="21"/>
      <c r="AB5" s="21"/>
      <c r="AC5" s="21"/>
      <c r="AD5" s="21"/>
      <c r="AE5" s="14" t="s">
        <v>18</v>
      </c>
      <c r="AF5" s="15"/>
      <c r="AG5" s="15"/>
      <c r="AH5" s="15"/>
      <c r="AI5" s="15"/>
      <c r="AJ5" s="15"/>
      <c r="AK5" s="15"/>
      <c r="AL5" s="15"/>
      <c r="AM5" s="15"/>
      <c r="AN5" s="15"/>
      <c r="AO5" s="23"/>
    </row>
    <row r="6" spans="1:41" ht="84" customHeight="1" x14ac:dyDescent="0.2">
      <c r="A6" s="17" t="s">
        <v>19</v>
      </c>
      <c r="B6" s="18" t="s">
        <v>20</v>
      </c>
      <c r="E6" s="24" t="s">
        <v>21</v>
      </c>
      <c r="F6" s="24" t="s">
        <v>21</v>
      </c>
      <c r="G6" s="24" t="s">
        <v>21</v>
      </c>
      <c r="H6" s="25" t="s">
        <v>22</v>
      </c>
      <c r="I6" s="26"/>
      <c r="J6" s="24" t="s">
        <v>21</v>
      </c>
      <c r="K6" s="25" t="s">
        <v>22</v>
      </c>
      <c r="L6" s="26"/>
      <c r="M6" s="26"/>
      <c r="N6" s="26"/>
      <c r="O6" s="27" t="s">
        <v>23</v>
      </c>
      <c r="P6" s="28"/>
      <c r="Q6" s="26" t="s">
        <v>24</v>
      </c>
      <c r="R6" s="26"/>
      <c r="S6" s="29"/>
      <c r="T6" s="29"/>
      <c r="U6" s="30" t="s">
        <v>22</v>
      </c>
      <c r="V6" s="26"/>
      <c r="W6" s="26"/>
      <c r="X6" s="26"/>
      <c r="Y6" s="27" t="s">
        <v>23</v>
      </c>
      <c r="Z6" s="28"/>
      <c r="AA6" s="26" t="s">
        <v>24</v>
      </c>
      <c r="AB6" s="26"/>
      <c r="AC6" s="26"/>
      <c r="AD6" s="29"/>
      <c r="AE6" s="31" t="s">
        <v>22</v>
      </c>
      <c r="AF6" s="26"/>
      <c r="AG6" s="26"/>
      <c r="AH6" s="26"/>
      <c r="AI6" s="27" t="s">
        <v>23</v>
      </c>
      <c r="AJ6" s="28"/>
      <c r="AK6" s="29" t="s">
        <v>24</v>
      </c>
      <c r="AL6" s="32"/>
      <c r="AM6" s="32"/>
      <c r="AN6" s="33"/>
      <c r="AO6" s="23"/>
    </row>
    <row r="7" spans="1:41" ht="19.5" customHeight="1" x14ac:dyDescent="0.2">
      <c r="A7" s="17" t="s">
        <v>25</v>
      </c>
      <c r="B7" s="18" t="s">
        <v>26</v>
      </c>
      <c r="E7" s="34" t="s">
        <v>27</v>
      </c>
      <c r="F7" s="34" t="s">
        <v>27</v>
      </c>
      <c r="G7" s="34" t="s">
        <v>27</v>
      </c>
      <c r="H7" s="34" t="s">
        <v>27</v>
      </c>
      <c r="I7" s="34" t="s">
        <v>28</v>
      </c>
      <c r="J7" s="34" t="s">
        <v>27</v>
      </c>
      <c r="K7" s="34" t="s">
        <v>27</v>
      </c>
      <c r="L7" s="34" t="s">
        <v>28</v>
      </c>
      <c r="M7" s="34" t="s">
        <v>27</v>
      </c>
      <c r="N7" s="34" t="s">
        <v>28</v>
      </c>
      <c r="O7" s="35" t="s">
        <v>27</v>
      </c>
      <c r="P7" s="35" t="s">
        <v>28</v>
      </c>
      <c r="Q7" s="34" t="s">
        <v>27</v>
      </c>
      <c r="R7" s="34" t="s">
        <v>28</v>
      </c>
      <c r="S7" s="34" t="s">
        <v>27</v>
      </c>
      <c r="T7" s="36" t="s">
        <v>28</v>
      </c>
      <c r="U7" s="37" t="s">
        <v>27</v>
      </c>
      <c r="V7" s="34" t="s">
        <v>28</v>
      </c>
      <c r="W7" s="34" t="s">
        <v>27</v>
      </c>
      <c r="X7" s="34" t="s">
        <v>28</v>
      </c>
      <c r="Y7" s="35" t="s">
        <v>27</v>
      </c>
      <c r="Z7" s="35" t="s">
        <v>28</v>
      </c>
      <c r="AA7" s="34" t="s">
        <v>27</v>
      </c>
      <c r="AB7" s="34" t="s">
        <v>28</v>
      </c>
      <c r="AC7" s="34" t="s">
        <v>27</v>
      </c>
      <c r="AD7" s="34" t="s">
        <v>28</v>
      </c>
      <c r="AE7" s="34" t="s">
        <v>27</v>
      </c>
      <c r="AF7" s="34" t="s">
        <v>28</v>
      </c>
      <c r="AG7" s="34" t="s">
        <v>27</v>
      </c>
      <c r="AH7" s="34" t="s">
        <v>28</v>
      </c>
      <c r="AI7" s="35" t="s">
        <v>27</v>
      </c>
      <c r="AJ7" s="35" t="s">
        <v>28</v>
      </c>
      <c r="AK7" s="34" t="s">
        <v>27</v>
      </c>
      <c r="AL7" s="34" t="s">
        <v>28</v>
      </c>
      <c r="AM7" s="34" t="s">
        <v>27</v>
      </c>
      <c r="AN7" s="34" t="s">
        <v>28</v>
      </c>
      <c r="AO7" s="23"/>
    </row>
    <row r="8" spans="1:41" s="5" customFormat="1" ht="19.5" customHeight="1" x14ac:dyDescent="0.2">
      <c r="A8" s="17" t="s">
        <v>29</v>
      </c>
      <c r="B8" s="18" t="s">
        <v>30</v>
      </c>
      <c r="C8" s="3"/>
      <c r="D8" s="3"/>
      <c r="E8" s="38" t="s">
        <v>31</v>
      </c>
      <c r="F8" s="38" t="s">
        <v>31</v>
      </c>
      <c r="G8" s="38" t="s">
        <v>31</v>
      </c>
      <c r="H8" s="39" t="s">
        <v>32</v>
      </c>
      <c r="I8" s="40" t="s">
        <v>33</v>
      </c>
      <c r="J8" s="38" t="s">
        <v>31</v>
      </c>
      <c r="K8" s="39" t="s">
        <v>32</v>
      </c>
      <c r="L8" s="40" t="s">
        <v>33</v>
      </c>
      <c r="M8" s="41" t="s">
        <v>34</v>
      </c>
      <c r="N8" s="42" t="s">
        <v>35</v>
      </c>
      <c r="O8" s="43" t="s">
        <v>36</v>
      </c>
      <c r="P8" s="43" t="s">
        <v>37</v>
      </c>
      <c r="Q8" s="44" t="s">
        <v>38</v>
      </c>
      <c r="R8" s="45" t="s">
        <v>39</v>
      </c>
      <c r="S8" s="46" t="s">
        <v>40</v>
      </c>
      <c r="T8" s="47" t="s">
        <v>41</v>
      </c>
      <c r="U8" s="48" t="s">
        <v>32</v>
      </c>
      <c r="V8" s="40" t="s">
        <v>33</v>
      </c>
      <c r="W8" s="41" t="s">
        <v>34</v>
      </c>
      <c r="X8" s="42" t="s">
        <v>35</v>
      </c>
      <c r="Y8" s="43" t="s">
        <v>36</v>
      </c>
      <c r="Z8" s="43" t="s">
        <v>37</v>
      </c>
      <c r="AA8" s="44" t="s">
        <v>38</v>
      </c>
      <c r="AB8" s="45" t="s">
        <v>39</v>
      </c>
      <c r="AC8" s="46" t="s">
        <v>40</v>
      </c>
      <c r="AD8" s="49" t="s">
        <v>41</v>
      </c>
      <c r="AE8" s="39" t="s">
        <v>32</v>
      </c>
      <c r="AF8" s="40" t="s">
        <v>33</v>
      </c>
      <c r="AG8" s="41" t="s">
        <v>34</v>
      </c>
      <c r="AH8" s="42" t="s">
        <v>35</v>
      </c>
      <c r="AI8" s="43" t="s">
        <v>36</v>
      </c>
      <c r="AJ8" s="43" t="s">
        <v>37</v>
      </c>
      <c r="AK8" s="44" t="s">
        <v>38</v>
      </c>
      <c r="AL8" s="45" t="s">
        <v>39</v>
      </c>
      <c r="AM8" s="46" t="s">
        <v>40</v>
      </c>
      <c r="AN8" s="49" t="s">
        <v>41</v>
      </c>
      <c r="AO8" s="23"/>
    </row>
    <row r="9" spans="1:41" ht="25.2" customHeight="1" x14ac:dyDescent="0.2">
      <c r="A9" s="17" t="s">
        <v>42</v>
      </c>
      <c r="B9" s="18" t="s">
        <v>43</v>
      </c>
      <c r="E9" s="50" t="s">
        <v>44</v>
      </c>
      <c r="F9" s="50" t="s">
        <v>44</v>
      </c>
      <c r="G9" s="51" t="s">
        <v>44</v>
      </c>
      <c r="H9" s="52"/>
      <c r="I9" s="52"/>
      <c r="J9" s="53" t="s">
        <v>44</v>
      </c>
      <c r="K9" s="54"/>
      <c r="L9" s="54"/>
      <c r="M9" s="54" t="s">
        <v>45</v>
      </c>
      <c r="N9" s="54"/>
      <c r="O9" s="55" t="s">
        <v>45</v>
      </c>
      <c r="P9" s="55"/>
      <c r="Q9" s="54" t="s">
        <v>44</v>
      </c>
      <c r="R9" s="54"/>
      <c r="S9" s="54" t="s">
        <v>45</v>
      </c>
      <c r="T9" s="56"/>
      <c r="U9" s="57" t="s">
        <v>44</v>
      </c>
      <c r="V9" s="54"/>
      <c r="W9" s="54" t="s">
        <v>45</v>
      </c>
      <c r="X9" s="54"/>
      <c r="Y9" s="55" t="s">
        <v>45</v>
      </c>
      <c r="Z9" s="55"/>
      <c r="AA9" s="54" t="s">
        <v>44</v>
      </c>
      <c r="AB9" s="54"/>
      <c r="AC9" s="54" t="s">
        <v>45</v>
      </c>
      <c r="AD9" s="56"/>
      <c r="AE9" s="53" t="s">
        <v>44</v>
      </c>
      <c r="AF9" s="54"/>
      <c r="AG9" s="54" t="s">
        <v>45</v>
      </c>
      <c r="AH9" s="56"/>
      <c r="AI9" s="55" t="s">
        <v>45</v>
      </c>
      <c r="AJ9" s="55"/>
      <c r="AK9" s="58" t="s">
        <v>44</v>
      </c>
      <c r="AL9" s="54"/>
      <c r="AM9" s="56" t="s">
        <v>45</v>
      </c>
      <c r="AN9" s="59"/>
      <c r="AO9" s="23"/>
    </row>
    <row r="10" spans="1:41" ht="13.5" customHeight="1" x14ac:dyDescent="0.2">
      <c r="A10" s="6"/>
      <c r="B10" s="60"/>
    </row>
    <row r="11" spans="1:41" ht="20.399999999999999" customHeight="1" thickBot="1" x14ac:dyDescent="0.25">
      <c r="A11" s="61" t="s">
        <v>46</v>
      </c>
      <c r="B11" s="62" t="s">
        <v>47</v>
      </c>
      <c r="C11" s="63" t="s">
        <v>48</v>
      </c>
      <c r="D11" s="63" t="s">
        <v>49</v>
      </c>
    </row>
    <row r="12" spans="1:41" s="5" customFormat="1" ht="12.75" customHeight="1" x14ac:dyDescent="0.2">
      <c r="A12" s="64" t="s">
        <v>50</v>
      </c>
      <c r="B12" s="65" t="s">
        <v>51</v>
      </c>
      <c r="C12" s="66" t="s">
        <v>52</v>
      </c>
      <c r="D12" s="67" t="s">
        <v>53</v>
      </c>
      <c r="E12" s="68" t="s">
        <v>54</v>
      </c>
      <c r="F12" s="69" t="s">
        <v>55</v>
      </c>
      <c r="G12" s="68" t="s">
        <v>56</v>
      </c>
      <c r="H12" s="70" t="s">
        <v>57</v>
      </c>
      <c r="I12" s="71"/>
      <c r="J12" s="72"/>
      <c r="K12" s="73" t="s">
        <v>58</v>
      </c>
      <c r="L12" s="73" t="s">
        <v>59</v>
      </c>
      <c r="M12" s="74"/>
      <c r="N12" s="74"/>
      <c r="O12" s="74"/>
      <c r="P12" s="74"/>
      <c r="Q12" s="74"/>
      <c r="R12" s="74"/>
      <c r="S12" s="74"/>
      <c r="T12" s="71"/>
      <c r="U12" s="72"/>
      <c r="V12" s="74"/>
      <c r="W12" s="74"/>
      <c r="X12" s="74"/>
      <c r="Y12" s="74"/>
      <c r="Z12" s="74"/>
      <c r="AA12" s="74"/>
      <c r="AB12" s="74"/>
      <c r="AC12" s="74"/>
      <c r="AD12" s="74"/>
      <c r="AE12" s="72"/>
      <c r="AF12" s="74"/>
      <c r="AG12" s="74"/>
      <c r="AH12" s="74"/>
      <c r="AI12" s="74"/>
      <c r="AJ12" s="74"/>
      <c r="AK12" s="74"/>
      <c r="AL12" s="74"/>
      <c r="AM12" s="74"/>
      <c r="AN12" s="74"/>
      <c r="AO12" s="23"/>
    </row>
    <row r="13" spans="1:41" s="5" customFormat="1" ht="12.75" customHeight="1" x14ac:dyDescent="0.2">
      <c r="A13" s="64"/>
      <c r="B13" s="75"/>
      <c r="C13" s="66" t="s">
        <v>60</v>
      </c>
      <c r="D13" s="66" t="s">
        <v>60</v>
      </c>
      <c r="E13" s="76" t="s">
        <v>61</v>
      </c>
      <c r="F13" s="77" t="s">
        <v>62</v>
      </c>
      <c r="G13" s="76" t="s">
        <v>63</v>
      </c>
      <c r="H13" s="4" t="s">
        <v>64</v>
      </c>
      <c r="I13" s="78"/>
      <c r="J13" s="79"/>
      <c r="K13" s="7" t="s">
        <v>65</v>
      </c>
      <c r="L13" s="7" t="s">
        <v>66</v>
      </c>
      <c r="M13" s="80"/>
      <c r="N13" s="80"/>
      <c r="O13" s="80"/>
      <c r="P13" s="80"/>
      <c r="Q13" s="7" t="s">
        <v>67</v>
      </c>
      <c r="R13" s="7" t="s">
        <v>68</v>
      </c>
      <c r="S13" s="80"/>
      <c r="T13" s="78"/>
      <c r="U13" s="76" t="s">
        <v>65</v>
      </c>
      <c r="V13" s="80"/>
      <c r="W13" s="7" t="s">
        <v>69</v>
      </c>
      <c r="X13" s="80"/>
      <c r="Y13" s="80"/>
      <c r="Z13" s="80"/>
      <c r="AA13" s="7" t="s">
        <v>67</v>
      </c>
      <c r="AB13" s="7" t="s">
        <v>68</v>
      </c>
      <c r="AC13" s="80"/>
      <c r="AD13" s="80"/>
      <c r="AE13" s="81" t="s">
        <v>70</v>
      </c>
      <c r="AF13" s="80"/>
      <c r="AG13" s="80"/>
      <c r="AH13" s="80"/>
      <c r="AI13" s="80"/>
      <c r="AJ13" s="80"/>
      <c r="AK13" s="82"/>
      <c r="AL13" s="83" t="s">
        <v>71</v>
      </c>
      <c r="AM13" s="80"/>
      <c r="AN13" s="80"/>
      <c r="AO13" s="23"/>
    </row>
    <row r="14" spans="1:41" s="5" customFormat="1" ht="12.75" customHeight="1" x14ac:dyDescent="0.2">
      <c r="A14" s="64"/>
      <c r="B14" s="75"/>
      <c r="C14" s="66" t="s">
        <v>72</v>
      </c>
      <c r="D14" s="66" t="s">
        <v>72</v>
      </c>
      <c r="E14" s="84"/>
      <c r="F14" s="84"/>
      <c r="G14" s="85" t="s">
        <v>73</v>
      </c>
      <c r="H14" s="4" t="s">
        <v>74</v>
      </c>
      <c r="I14" s="78"/>
      <c r="J14" s="79"/>
      <c r="K14" s="7" t="s">
        <v>75</v>
      </c>
      <c r="L14" s="7" t="s">
        <v>76</v>
      </c>
      <c r="M14" s="80"/>
      <c r="N14" s="80"/>
      <c r="O14" s="80"/>
      <c r="P14" s="80"/>
      <c r="Q14" s="4" t="s">
        <v>77</v>
      </c>
      <c r="R14" s="4" t="s">
        <v>78</v>
      </c>
      <c r="S14" s="80"/>
      <c r="T14" s="78"/>
      <c r="U14" s="76" t="s">
        <v>75</v>
      </c>
      <c r="V14" s="7" t="s">
        <v>76</v>
      </c>
      <c r="W14" s="7" t="s">
        <v>79</v>
      </c>
      <c r="X14" s="80"/>
      <c r="Y14" s="80"/>
      <c r="Z14" s="80"/>
      <c r="AA14" s="7" t="s">
        <v>77</v>
      </c>
      <c r="AB14" s="7" t="s">
        <v>78</v>
      </c>
      <c r="AC14" s="80"/>
      <c r="AD14" s="7" t="s">
        <v>80</v>
      </c>
      <c r="AE14" s="85" t="s">
        <v>81</v>
      </c>
      <c r="AF14" s="80"/>
      <c r="AG14" s="80"/>
      <c r="AH14" s="80"/>
      <c r="AI14" s="80"/>
      <c r="AJ14" s="80"/>
      <c r="AK14" s="80"/>
      <c r="AL14" s="7" t="s">
        <v>82</v>
      </c>
      <c r="AM14" s="80"/>
      <c r="AN14" s="7" t="s">
        <v>83</v>
      </c>
      <c r="AO14" s="23"/>
    </row>
    <row r="15" spans="1:41" s="5" customFormat="1" ht="12.75" customHeight="1" x14ac:dyDescent="0.2">
      <c r="A15" s="64"/>
      <c r="B15" s="75"/>
      <c r="C15" s="66" t="s">
        <v>84</v>
      </c>
      <c r="D15" s="66" t="s">
        <v>84</v>
      </c>
      <c r="E15" s="84"/>
      <c r="F15" s="84"/>
      <c r="G15" s="79"/>
      <c r="H15" s="80"/>
      <c r="I15" s="78"/>
      <c r="J15" s="79"/>
      <c r="K15" s="7" t="s">
        <v>85</v>
      </c>
      <c r="L15" s="7" t="s">
        <v>86</v>
      </c>
      <c r="M15" s="80"/>
      <c r="N15" s="80"/>
      <c r="O15" s="80"/>
      <c r="P15" s="80"/>
      <c r="Q15" s="80"/>
      <c r="R15" s="80"/>
      <c r="S15" s="80"/>
      <c r="T15" s="78"/>
      <c r="U15" s="85" t="s">
        <v>85</v>
      </c>
      <c r="V15" s="80"/>
      <c r="W15" s="80"/>
      <c r="X15" s="80"/>
      <c r="Y15" s="80"/>
      <c r="Z15" s="80"/>
      <c r="AA15" s="80"/>
      <c r="AB15" s="4" t="s">
        <v>87</v>
      </c>
      <c r="AC15" s="80"/>
      <c r="AD15" s="80"/>
      <c r="AE15" s="79"/>
      <c r="AF15" s="80"/>
      <c r="AG15" s="80"/>
      <c r="AH15" s="80"/>
      <c r="AI15" s="80"/>
      <c r="AJ15" s="80"/>
      <c r="AK15" s="80"/>
      <c r="AL15" s="80"/>
      <c r="AM15" s="80"/>
      <c r="AN15" s="80"/>
      <c r="AO15" s="23"/>
    </row>
    <row r="16" spans="1:41" s="5" customFormat="1" ht="12.75" customHeight="1" x14ac:dyDescent="0.2">
      <c r="A16" s="86"/>
      <c r="B16" s="87"/>
      <c r="C16" s="66" t="s">
        <v>88</v>
      </c>
      <c r="D16" s="66" t="s">
        <v>88</v>
      </c>
      <c r="E16" s="84"/>
      <c r="F16" s="84"/>
      <c r="G16" s="79"/>
      <c r="H16" s="80"/>
      <c r="I16" s="78"/>
      <c r="J16" s="79"/>
      <c r="K16" s="80"/>
      <c r="L16" s="80"/>
      <c r="M16" s="80"/>
      <c r="N16" s="80"/>
      <c r="O16" s="80"/>
      <c r="P16" s="80"/>
      <c r="Q16" s="80"/>
      <c r="R16" s="80"/>
      <c r="S16" s="80"/>
      <c r="T16" s="78"/>
      <c r="U16" s="76" t="s">
        <v>89</v>
      </c>
      <c r="V16" s="80"/>
      <c r="W16" s="7" t="s">
        <v>90</v>
      </c>
      <c r="X16" s="80"/>
      <c r="Y16" s="80"/>
      <c r="Z16" s="80"/>
      <c r="AA16" s="7" t="s">
        <v>91</v>
      </c>
      <c r="AB16" s="7" t="s">
        <v>92</v>
      </c>
      <c r="AC16" s="80"/>
      <c r="AD16" s="7" t="s">
        <v>93</v>
      </c>
      <c r="AE16" s="85" t="s">
        <v>94</v>
      </c>
      <c r="AF16" s="80"/>
      <c r="AG16" s="80"/>
      <c r="AH16" s="80"/>
      <c r="AI16" s="80"/>
      <c r="AJ16" s="80"/>
      <c r="AK16" s="80"/>
      <c r="AL16" s="7" t="s">
        <v>95</v>
      </c>
      <c r="AM16" s="80"/>
      <c r="AN16" s="7" t="s">
        <v>96</v>
      </c>
      <c r="AO16" s="23"/>
    </row>
    <row r="17" spans="1:41" s="5" customFormat="1" ht="12.75" customHeight="1" thickBot="1" x14ac:dyDescent="0.25">
      <c r="A17" s="64"/>
      <c r="B17" s="75"/>
      <c r="C17" s="88" t="s">
        <v>97</v>
      </c>
      <c r="D17" s="88" t="s">
        <v>97</v>
      </c>
      <c r="E17" s="89"/>
      <c r="F17" s="89"/>
      <c r="G17" s="90"/>
      <c r="H17" s="91"/>
      <c r="I17" s="92"/>
      <c r="J17" s="90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3" t="s">
        <v>98</v>
      </c>
      <c r="V17" s="91"/>
      <c r="W17" s="94" t="s">
        <v>99</v>
      </c>
      <c r="X17" s="91"/>
      <c r="Y17" s="91"/>
      <c r="Z17" s="91"/>
      <c r="AA17" s="94" t="s">
        <v>100</v>
      </c>
      <c r="AB17" s="95" t="s">
        <v>101</v>
      </c>
      <c r="AC17" s="91"/>
      <c r="AD17" s="94" t="s">
        <v>102</v>
      </c>
      <c r="AE17" s="90"/>
      <c r="AF17" s="91"/>
      <c r="AG17" s="91"/>
      <c r="AH17" s="91"/>
      <c r="AI17" s="91"/>
      <c r="AJ17" s="91"/>
      <c r="AK17" s="94" t="s">
        <v>103</v>
      </c>
      <c r="AL17" s="94" t="s">
        <v>104</v>
      </c>
      <c r="AM17" s="91"/>
      <c r="AN17" s="94" t="s">
        <v>105</v>
      </c>
      <c r="AO17" s="23"/>
    </row>
    <row r="18" spans="1:41" s="5" customFormat="1" ht="12.6" customHeight="1" x14ac:dyDescent="0.2">
      <c r="A18" s="96" t="s">
        <v>106</v>
      </c>
      <c r="B18" s="65" t="s">
        <v>107</v>
      </c>
      <c r="C18" s="97" t="s">
        <v>108</v>
      </c>
      <c r="D18" s="97" t="s">
        <v>108</v>
      </c>
      <c r="E18" s="98"/>
      <c r="F18" s="98"/>
      <c r="G18" s="72"/>
      <c r="H18" s="74"/>
      <c r="I18" s="71"/>
      <c r="J18" s="72"/>
      <c r="K18" s="99" t="s">
        <v>109</v>
      </c>
      <c r="L18" s="74"/>
      <c r="M18" s="74"/>
      <c r="N18" s="74"/>
      <c r="O18" s="74"/>
      <c r="P18" s="74"/>
      <c r="Q18" s="74" t="s">
        <v>110</v>
      </c>
      <c r="R18" s="74" t="s">
        <v>111</v>
      </c>
      <c r="S18" s="74"/>
      <c r="T18" s="71"/>
      <c r="U18" s="72"/>
      <c r="V18" s="74"/>
      <c r="W18" s="74"/>
      <c r="X18" s="74"/>
      <c r="Y18" s="74"/>
      <c r="Z18" s="74"/>
      <c r="AA18" s="74"/>
      <c r="AB18" s="74"/>
      <c r="AC18" s="74"/>
      <c r="AD18" s="74"/>
      <c r="AE18" s="72"/>
      <c r="AF18" s="74"/>
      <c r="AG18" s="74"/>
      <c r="AH18" s="74"/>
      <c r="AI18" s="74"/>
      <c r="AJ18" s="74"/>
      <c r="AK18" s="74"/>
      <c r="AL18" s="74"/>
      <c r="AM18" s="74"/>
      <c r="AN18" s="74"/>
      <c r="AO18" s="23"/>
    </row>
    <row r="19" spans="1:41" s="5" customFormat="1" ht="12.75" customHeight="1" x14ac:dyDescent="0.2">
      <c r="A19" s="64"/>
      <c r="B19" s="75"/>
      <c r="C19" s="66" t="s">
        <v>112</v>
      </c>
      <c r="D19" s="66" t="s">
        <v>112</v>
      </c>
      <c r="E19" s="84"/>
      <c r="F19" s="84"/>
      <c r="G19" s="79"/>
      <c r="H19" s="80"/>
      <c r="I19" s="78"/>
      <c r="J19" s="79"/>
      <c r="K19" s="7" t="s">
        <v>113</v>
      </c>
      <c r="L19" s="100" t="s">
        <v>114</v>
      </c>
      <c r="M19" s="80"/>
      <c r="N19" s="80"/>
      <c r="O19" s="80"/>
      <c r="P19" s="80"/>
      <c r="Q19" s="80"/>
      <c r="R19" s="7" t="s">
        <v>115</v>
      </c>
      <c r="S19" s="80"/>
      <c r="T19" s="78"/>
      <c r="U19" s="79"/>
      <c r="V19" s="80"/>
      <c r="W19" s="80"/>
      <c r="X19" s="80"/>
      <c r="Y19" s="80"/>
      <c r="Z19" s="80"/>
      <c r="AA19" s="80"/>
      <c r="AB19" s="80"/>
      <c r="AC19" s="80"/>
      <c r="AD19" s="80"/>
      <c r="AE19" s="85" t="s">
        <v>116</v>
      </c>
      <c r="AF19" s="80"/>
      <c r="AG19" s="7" t="s">
        <v>117</v>
      </c>
      <c r="AH19" s="80"/>
      <c r="AI19" s="80"/>
      <c r="AJ19" s="80"/>
      <c r="AK19" s="80"/>
      <c r="AL19" s="7" t="s">
        <v>118</v>
      </c>
      <c r="AM19" s="80"/>
      <c r="AN19" s="80"/>
      <c r="AO19" s="23"/>
    </row>
    <row r="20" spans="1:41" s="5" customFormat="1" ht="12.75" customHeight="1" thickBot="1" x14ac:dyDescent="0.25">
      <c r="A20" s="101"/>
      <c r="B20" s="102"/>
      <c r="C20" s="103" t="s">
        <v>119</v>
      </c>
      <c r="D20" s="103" t="s">
        <v>119</v>
      </c>
      <c r="E20" s="89"/>
      <c r="F20" s="89"/>
      <c r="G20" s="90"/>
      <c r="H20" s="91"/>
      <c r="I20" s="92"/>
      <c r="J20" s="90"/>
      <c r="K20" s="91"/>
      <c r="L20" s="91"/>
      <c r="M20" s="91"/>
      <c r="N20" s="91"/>
      <c r="O20" s="91"/>
      <c r="P20" s="91"/>
      <c r="Q20" s="91"/>
      <c r="R20" s="91"/>
      <c r="S20" s="91"/>
      <c r="T20" s="92"/>
      <c r="U20" s="93" t="s">
        <v>120</v>
      </c>
      <c r="V20" s="91"/>
      <c r="W20" s="91"/>
      <c r="X20" s="91"/>
      <c r="Y20" s="91"/>
      <c r="Z20" s="91"/>
      <c r="AA20" s="91"/>
      <c r="AB20" s="94" t="s">
        <v>121</v>
      </c>
      <c r="AC20" s="91"/>
      <c r="AD20" s="91"/>
      <c r="AE20" s="93" t="s">
        <v>122</v>
      </c>
      <c r="AF20" s="91"/>
      <c r="AG20" s="94" t="s">
        <v>123</v>
      </c>
      <c r="AH20" s="91"/>
      <c r="AI20" s="91"/>
      <c r="AJ20" s="91"/>
      <c r="AK20" s="91"/>
      <c r="AL20" s="94" t="s">
        <v>124</v>
      </c>
      <c r="AM20" s="91"/>
      <c r="AN20" s="94" t="s">
        <v>125</v>
      </c>
      <c r="AO20" s="23"/>
    </row>
    <row r="21" spans="1:41" s="5" customFormat="1" ht="12.75" customHeight="1" x14ac:dyDescent="0.2">
      <c r="A21" s="96" t="s">
        <v>126</v>
      </c>
      <c r="B21" s="65" t="s">
        <v>127</v>
      </c>
      <c r="C21" s="97" t="s">
        <v>128</v>
      </c>
      <c r="D21" s="97" t="s">
        <v>128</v>
      </c>
      <c r="E21" s="98"/>
      <c r="F21" s="98"/>
      <c r="G21" s="72"/>
      <c r="H21" s="74"/>
      <c r="I21" s="71"/>
      <c r="J21" s="72"/>
      <c r="K21" s="70" t="s">
        <v>129</v>
      </c>
      <c r="L21" s="74"/>
      <c r="M21" s="74"/>
      <c r="N21" s="74"/>
      <c r="O21" s="74"/>
      <c r="P21" s="74"/>
      <c r="Q21" s="74" t="s">
        <v>130</v>
      </c>
      <c r="R21" s="74" t="s">
        <v>131</v>
      </c>
      <c r="S21" s="74"/>
      <c r="T21" s="71"/>
      <c r="U21" s="72"/>
      <c r="V21" s="74"/>
      <c r="W21" s="74"/>
      <c r="X21" s="74"/>
      <c r="Y21" s="74"/>
      <c r="Z21" s="74"/>
      <c r="AA21" s="74"/>
      <c r="AB21" s="74"/>
      <c r="AC21" s="74"/>
      <c r="AD21" s="74"/>
      <c r="AE21" s="72"/>
      <c r="AF21" s="74"/>
      <c r="AG21" s="74"/>
      <c r="AH21" s="74"/>
      <c r="AI21" s="74"/>
      <c r="AJ21" s="74"/>
      <c r="AK21" s="74"/>
      <c r="AL21" s="74"/>
      <c r="AM21" s="74"/>
      <c r="AN21" s="74"/>
      <c r="AO21" s="23"/>
    </row>
    <row r="22" spans="1:41" s="5" customFormat="1" ht="12.45" customHeight="1" thickBot="1" x14ac:dyDescent="0.25">
      <c r="A22" s="101"/>
      <c r="B22" s="102"/>
      <c r="C22" s="103" t="s">
        <v>132</v>
      </c>
      <c r="D22" s="103" t="s">
        <v>132</v>
      </c>
      <c r="E22" s="89"/>
      <c r="F22" s="89"/>
      <c r="G22" s="90"/>
      <c r="H22" s="91"/>
      <c r="I22" s="92"/>
      <c r="J22" s="90"/>
      <c r="K22" s="91"/>
      <c r="L22" s="91"/>
      <c r="M22" s="91"/>
      <c r="N22" s="91"/>
      <c r="O22" s="91"/>
      <c r="P22" s="91"/>
      <c r="Q22" s="91"/>
      <c r="R22" s="91"/>
      <c r="S22" s="91"/>
      <c r="T22" s="92"/>
      <c r="U22" s="104" t="s">
        <v>133</v>
      </c>
      <c r="V22" s="105" t="s">
        <v>134</v>
      </c>
      <c r="W22" s="91"/>
      <c r="X22" s="91"/>
      <c r="Y22" s="91"/>
      <c r="Z22" s="91"/>
      <c r="AA22" s="95" t="s">
        <v>135</v>
      </c>
      <c r="AB22" s="95" t="s">
        <v>136</v>
      </c>
      <c r="AC22" s="91"/>
      <c r="AD22" s="91"/>
      <c r="AE22" s="90"/>
      <c r="AF22" s="91"/>
      <c r="AG22" s="91"/>
      <c r="AH22" s="91"/>
      <c r="AI22" s="91"/>
      <c r="AJ22" s="91"/>
      <c r="AK22" s="91"/>
      <c r="AL22" s="91"/>
      <c r="AM22" s="91"/>
      <c r="AN22" s="91"/>
      <c r="AO22" s="23"/>
    </row>
    <row r="23" spans="1:41" s="5" customFormat="1" ht="15" customHeight="1" x14ac:dyDescent="0.2">
      <c r="A23" s="106" t="s">
        <v>137</v>
      </c>
      <c r="B23" s="65" t="s">
        <v>138</v>
      </c>
      <c r="C23" s="97" t="s">
        <v>139</v>
      </c>
      <c r="D23" s="107" t="s">
        <v>53</v>
      </c>
      <c r="E23" s="98"/>
      <c r="F23" s="98"/>
      <c r="G23" s="72"/>
      <c r="H23" s="74"/>
      <c r="I23" s="71"/>
      <c r="J23" s="108" t="s">
        <v>140</v>
      </c>
      <c r="K23" s="73" t="s">
        <v>141</v>
      </c>
      <c r="L23" s="70" t="s">
        <v>142</v>
      </c>
      <c r="M23" s="74"/>
      <c r="N23" s="74"/>
      <c r="O23" s="74"/>
      <c r="P23" s="74"/>
      <c r="Q23" s="74"/>
      <c r="R23" s="74"/>
      <c r="S23" s="74"/>
      <c r="T23" s="71"/>
      <c r="U23" s="68" t="s">
        <v>141</v>
      </c>
      <c r="V23" s="74"/>
      <c r="W23" s="70" t="s">
        <v>143</v>
      </c>
      <c r="X23" s="70" t="s">
        <v>144</v>
      </c>
      <c r="Y23" s="70"/>
      <c r="Z23" s="70"/>
      <c r="AA23" s="70" t="s">
        <v>145</v>
      </c>
      <c r="AB23" s="73" t="s">
        <v>146</v>
      </c>
      <c r="AC23" s="74"/>
      <c r="AD23" s="74"/>
      <c r="AE23" s="72"/>
      <c r="AF23" s="74"/>
      <c r="AG23" s="74"/>
      <c r="AH23" s="74"/>
      <c r="AI23" s="74"/>
      <c r="AJ23" s="74"/>
      <c r="AK23" s="74"/>
      <c r="AL23" s="73" t="s">
        <v>147</v>
      </c>
      <c r="AM23" s="74"/>
      <c r="AN23" s="74"/>
      <c r="AO23" s="23"/>
    </row>
    <row r="24" spans="1:41" s="5" customFormat="1" ht="12.45" customHeight="1" x14ac:dyDescent="0.2">
      <c r="A24" s="109"/>
      <c r="B24" s="75"/>
      <c r="C24" s="66" t="s">
        <v>148</v>
      </c>
      <c r="D24" s="67" t="s">
        <v>53</v>
      </c>
      <c r="E24" s="84"/>
      <c r="F24" s="84"/>
      <c r="G24" s="79"/>
      <c r="H24" s="80"/>
      <c r="I24" s="78"/>
      <c r="J24" s="85" t="s">
        <v>149</v>
      </c>
      <c r="K24" s="4" t="s">
        <v>150</v>
      </c>
      <c r="L24" s="4" t="s">
        <v>151</v>
      </c>
      <c r="M24" s="80"/>
      <c r="N24" s="80"/>
      <c r="O24" s="80"/>
      <c r="P24" s="80"/>
      <c r="Q24" s="80"/>
      <c r="R24" s="80"/>
      <c r="S24" s="80"/>
      <c r="T24" s="78"/>
      <c r="U24" s="76" t="s">
        <v>150</v>
      </c>
      <c r="V24" s="80"/>
      <c r="W24" s="80"/>
      <c r="X24" s="80"/>
      <c r="Y24" s="80"/>
      <c r="Z24" s="80"/>
      <c r="AA24" s="4" t="s">
        <v>152</v>
      </c>
      <c r="AB24" s="4" t="s">
        <v>153</v>
      </c>
      <c r="AC24" s="80"/>
      <c r="AD24" s="80"/>
      <c r="AE24" s="79"/>
      <c r="AF24" s="80"/>
      <c r="AG24" s="80"/>
      <c r="AH24" s="80"/>
      <c r="AI24" s="80"/>
      <c r="AJ24" s="80"/>
      <c r="AK24" s="80"/>
      <c r="AL24" s="80"/>
      <c r="AM24" s="80"/>
      <c r="AN24" s="80"/>
      <c r="AO24" s="23"/>
    </row>
    <row r="25" spans="1:41" s="5" customFormat="1" ht="12.75" customHeight="1" x14ac:dyDescent="0.2">
      <c r="A25" s="109"/>
      <c r="B25" s="75"/>
      <c r="C25" s="66" t="s">
        <v>154</v>
      </c>
      <c r="D25" s="66" t="s">
        <v>53</v>
      </c>
      <c r="E25" s="84"/>
      <c r="F25" s="84"/>
      <c r="G25" s="79"/>
      <c r="H25" s="80"/>
      <c r="I25" s="78"/>
      <c r="J25" s="85" t="s">
        <v>155</v>
      </c>
      <c r="K25" s="7" t="s">
        <v>156</v>
      </c>
      <c r="L25" s="7" t="s">
        <v>157</v>
      </c>
      <c r="M25" s="80"/>
      <c r="N25" s="80"/>
      <c r="O25" s="80"/>
      <c r="P25" s="80"/>
      <c r="Q25" s="80"/>
      <c r="R25" s="80"/>
      <c r="S25" s="80"/>
      <c r="T25" s="78"/>
      <c r="U25" s="76" t="s">
        <v>156</v>
      </c>
      <c r="V25" s="80"/>
      <c r="W25" s="7" t="s">
        <v>158</v>
      </c>
      <c r="X25" s="80"/>
      <c r="Y25" s="80"/>
      <c r="Z25" s="80"/>
      <c r="AA25" s="7" t="s">
        <v>159</v>
      </c>
      <c r="AB25" s="7" t="s">
        <v>160</v>
      </c>
      <c r="AC25" s="7" t="s">
        <v>161</v>
      </c>
      <c r="AD25" s="7" t="s">
        <v>162</v>
      </c>
      <c r="AE25" s="85" t="s">
        <v>163</v>
      </c>
      <c r="AF25" s="80"/>
      <c r="AG25" s="80"/>
      <c r="AH25" s="80"/>
      <c r="AI25" s="80"/>
      <c r="AJ25" s="80"/>
      <c r="AK25" s="7" t="s">
        <v>164</v>
      </c>
      <c r="AL25" s="7" t="s">
        <v>165</v>
      </c>
      <c r="AM25" s="80"/>
      <c r="AN25" s="4" t="s">
        <v>166</v>
      </c>
      <c r="AO25" s="23"/>
    </row>
    <row r="26" spans="1:41" s="5" customFormat="1" ht="12.75" customHeight="1" thickBot="1" x14ac:dyDescent="0.25">
      <c r="A26" s="110"/>
      <c r="B26" s="111"/>
      <c r="C26" s="88" t="s">
        <v>167</v>
      </c>
      <c r="D26" s="88" t="s">
        <v>53</v>
      </c>
      <c r="E26" s="89"/>
      <c r="F26" s="89"/>
      <c r="G26" s="90"/>
      <c r="H26" s="91"/>
      <c r="I26" s="92"/>
      <c r="J26" s="90"/>
      <c r="K26" s="95" t="s">
        <v>168</v>
      </c>
      <c r="L26" s="95" t="s">
        <v>169</v>
      </c>
      <c r="M26" s="91"/>
      <c r="N26" s="91"/>
      <c r="O26" s="91"/>
      <c r="P26" s="91"/>
      <c r="Q26" s="95" t="s">
        <v>170</v>
      </c>
      <c r="R26" s="95" t="s">
        <v>171</v>
      </c>
      <c r="S26" s="91"/>
      <c r="T26" s="92"/>
      <c r="U26" s="93" t="s">
        <v>168</v>
      </c>
      <c r="V26" s="91"/>
      <c r="W26" s="94" t="s">
        <v>172</v>
      </c>
      <c r="X26" s="91"/>
      <c r="Y26" s="91"/>
      <c r="Z26" s="91"/>
      <c r="AA26" s="95" t="s">
        <v>170</v>
      </c>
      <c r="AB26" s="94" t="s">
        <v>171</v>
      </c>
      <c r="AC26" s="95" t="s">
        <v>173</v>
      </c>
      <c r="AD26" s="94" t="s">
        <v>174</v>
      </c>
      <c r="AE26" s="90"/>
      <c r="AF26" s="91"/>
      <c r="AG26" s="91"/>
      <c r="AH26" s="91"/>
      <c r="AI26" s="91"/>
      <c r="AJ26" s="91"/>
      <c r="AK26" s="91"/>
      <c r="AL26" s="91"/>
      <c r="AM26" s="91"/>
      <c r="AN26" s="91"/>
      <c r="AO26" s="23"/>
    </row>
    <row r="27" spans="1:41" s="5" customFormat="1" ht="12.75" customHeight="1" x14ac:dyDescent="0.2">
      <c r="A27" s="112" t="s">
        <v>175</v>
      </c>
      <c r="B27" s="113" t="s">
        <v>176</v>
      </c>
      <c r="C27" s="114" t="s">
        <v>139</v>
      </c>
      <c r="D27" s="107" t="s">
        <v>53</v>
      </c>
      <c r="E27" s="98"/>
      <c r="F27" s="98"/>
      <c r="G27" s="72"/>
      <c r="H27" s="74"/>
      <c r="I27" s="71"/>
      <c r="J27" s="108" t="s">
        <v>177</v>
      </c>
      <c r="K27" s="73" t="s">
        <v>178</v>
      </c>
      <c r="L27" s="74"/>
      <c r="M27" s="74"/>
      <c r="N27" s="74"/>
      <c r="O27" s="74"/>
      <c r="P27" s="74"/>
      <c r="Q27" s="74"/>
      <c r="R27" s="74"/>
      <c r="S27" s="74"/>
      <c r="T27" s="71"/>
      <c r="U27" s="68" t="s">
        <v>178</v>
      </c>
      <c r="V27" s="70" t="s">
        <v>179</v>
      </c>
      <c r="W27" s="74"/>
      <c r="X27" s="74"/>
      <c r="Y27" s="74"/>
      <c r="Z27" s="74"/>
      <c r="AA27" s="74"/>
      <c r="AB27" s="74"/>
      <c r="AC27" s="74"/>
      <c r="AD27" s="74"/>
      <c r="AE27" s="72"/>
      <c r="AF27" s="74"/>
      <c r="AG27" s="74"/>
      <c r="AH27" s="74"/>
      <c r="AI27" s="74"/>
      <c r="AJ27" s="74"/>
      <c r="AK27" s="74"/>
      <c r="AL27" s="74"/>
      <c r="AM27" s="74"/>
      <c r="AN27" s="74"/>
      <c r="AO27" s="23"/>
    </row>
    <row r="28" spans="1:41" s="5" customFormat="1" ht="12.75" customHeight="1" x14ac:dyDescent="0.2">
      <c r="A28" s="115"/>
      <c r="B28" s="116"/>
      <c r="C28" s="117" t="s">
        <v>148</v>
      </c>
      <c r="D28" s="67" t="s">
        <v>53</v>
      </c>
      <c r="E28" s="84"/>
      <c r="F28" s="84"/>
      <c r="G28" s="79"/>
      <c r="H28" s="80"/>
      <c r="I28" s="78"/>
      <c r="J28" s="85" t="s">
        <v>180</v>
      </c>
      <c r="K28" s="4" t="s">
        <v>181</v>
      </c>
      <c r="L28" s="80"/>
      <c r="M28" s="80"/>
      <c r="N28" s="80"/>
      <c r="O28" s="80"/>
      <c r="P28" s="80"/>
      <c r="Q28" s="80"/>
      <c r="R28" s="80"/>
      <c r="S28" s="80"/>
      <c r="T28" s="78"/>
      <c r="U28" s="76" t="s">
        <v>181</v>
      </c>
      <c r="V28" s="4" t="s">
        <v>182</v>
      </c>
      <c r="W28" s="80"/>
      <c r="X28" s="80"/>
      <c r="Y28" s="80"/>
      <c r="Z28" s="80"/>
      <c r="AA28" s="80"/>
      <c r="AB28" s="80"/>
      <c r="AC28" s="80"/>
      <c r="AD28" s="80"/>
      <c r="AE28" s="79"/>
      <c r="AF28" s="80"/>
      <c r="AG28" s="80"/>
      <c r="AH28" s="80"/>
      <c r="AI28" s="80"/>
      <c r="AJ28" s="80"/>
      <c r="AK28" s="80"/>
      <c r="AL28" s="80"/>
      <c r="AM28" s="80"/>
      <c r="AN28" s="80"/>
      <c r="AO28" s="23"/>
    </row>
    <row r="29" spans="1:41" s="5" customFormat="1" ht="12.75" customHeight="1" x14ac:dyDescent="0.2">
      <c r="A29" s="115"/>
      <c r="B29" s="116"/>
      <c r="C29" s="117" t="s">
        <v>154</v>
      </c>
      <c r="D29" s="67" t="s">
        <v>53</v>
      </c>
      <c r="E29" s="84"/>
      <c r="F29" s="84"/>
      <c r="G29" s="79"/>
      <c r="H29" s="80"/>
      <c r="I29" s="78"/>
      <c r="J29" s="85" t="s">
        <v>183</v>
      </c>
      <c r="K29" s="7" t="s">
        <v>184</v>
      </c>
      <c r="L29" s="7" t="s">
        <v>185</v>
      </c>
      <c r="M29" s="80"/>
      <c r="N29" s="80"/>
      <c r="O29" s="80"/>
      <c r="P29" s="80"/>
      <c r="Q29" s="80"/>
      <c r="R29" s="80"/>
      <c r="S29" s="80"/>
      <c r="T29" s="78"/>
      <c r="U29" s="76" t="s">
        <v>184</v>
      </c>
      <c r="V29" s="80"/>
      <c r="W29" s="80"/>
      <c r="X29" s="80"/>
      <c r="Y29" s="80"/>
      <c r="Z29" s="80"/>
      <c r="AA29" s="7" t="s">
        <v>186</v>
      </c>
      <c r="AB29" s="7" t="s">
        <v>187</v>
      </c>
      <c r="AC29" s="80"/>
      <c r="AD29" s="80"/>
      <c r="AE29" s="79"/>
      <c r="AF29" s="80"/>
      <c r="AG29" s="80"/>
      <c r="AH29" s="80"/>
      <c r="AI29" s="80"/>
      <c r="AJ29" s="80"/>
      <c r="AK29" s="4" t="s">
        <v>188</v>
      </c>
      <c r="AL29" s="4" t="s">
        <v>189</v>
      </c>
      <c r="AM29" s="80"/>
      <c r="AN29" s="80"/>
      <c r="AO29" s="23"/>
    </row>
    <row r="30" spans="1:41" s="5" customFormat="1" ht="12.45" customHeight="1" thickBot="1" x14ac:dyDescent="0.25">
      <c r="A30" s="118"/>
      <c r="B30" s="119"/>
      <c r="C30" s="120" t="s">
        <v>167</v>
      </c>
      <c r="D30" s="121" t="s">
        <v>53</v>
      </c>
      <c r="E30" s="89"/>
      <c r="F30" s="89"/>
      <c r="G30" s="90"/>
      <c r="H30" s="91"/>
      <c r="I30" s="92"/>
      <c r="J30" s="90"/>
      <c r="K30" s="95" t="s">
        <v>190</v>
      </c>
      <c r="L30" s="95" t="s">
        <v>191</v>
      </c>
      <c r="M30" s="91"/>
      <c r="N30" s="91"/>
      <c r="O30" s="91"/>
      <c r="P30" s="91"/>
      <c r="Q30" s="91"/>
      <c r="R30" s="91"/>
      <c r="S30" s="91"/>
      <c r="T30" s="92"/>
      <c r="U30" s="93" t="s">
        <v>190</v>
      </c>
      <c r="V30" s="91"/>
      <c r="W30" s="91"/>
      <c r="X30" s="91"/>
      <c r="Y30" s="91"/>
      <c r="Z30" s="91"/>
      <c r="AA30" s="94" t="s">
        <v>192</v>
      </c>
      <c r="AB30" s="94" t="s">
        <v>193</v>
      </c>
      <c r="AC30" s="91"/>
      <c r="AD30" s="91"/>
      <c r="AE30" s="90"/>
      <c r="AF30" s="91"/>
      <c r="AG30" s="91"/>
      <c r="AH30" s="91"/>
      <c r="AI30" s="91"/>
      <c r="AJ30" s="91"/>
      <c r="AK30" s="91"/>
      <c r="AL30" s="91"/>
      <c r="AM30" s="91"/>
      <c r="AN30" s="91"/>
      <c r="AO30" s="23"/>
    </row>
    <row r="31" spans="1:41" s="5" customFormat="1" ht="12.75" customHeight="1" thickBot="1" x14ac:dyDescent="0.25">
      <c r="A31" s="122" t="s">
        <v>194</v>
      </c>
      <c r="B31" s="123" t="s">
        <v>195</v>
      </c>
      <c r="C31" s="124" t="s">
        <v>196</v>
      </c>
      <c r="D31" s="125" t="s">
        <v>53</v>
      </c>
      <c r="E31" s="126"/>
      <c r="F31" s="126"/>
      <c r="G31" s="127"/>
      <c r="H31" s="128"/>
      <c r="I31" s="129"/>
      <c r="J31" s="127"/>
      <c r="K31" s="130" t="s">
        <v>197</v>
      </c>
      <c r="L31" s="128"/>
      <c r="M31" s="128"/>
      <c r="N31" s="128"/>
      <c r="O31" s="128"/>
      <c r="P31" s="128"/>
      <c r="Q31" s="128"/>
      <c r="R31" s="130" t="s">
        <v>198</v>
      </c>
      <c r="S31" s="128"/>
      <c r="T31" s="129"/>
      <c r="U31" s="127"/>
      <c r="V31" s="128"/>
      <c r="W31" s="128"/>
      <c r="X31" s="128"/>
      <c r="Y31" s="128"/>
      <c r="Z31" s="128"/>
      <c r="AA31" s="128"/>
      <c r="AB31" s="128"/>
      <c r="AC31" s="128"/>
      <c r="AD31" s="128"/>
      <c r="AE31" s="127"/>
      <c r="AF31" s="128"/>
      <c r="AG31" s="128"/>
      <c r="AH31" s="128"/>
      <c r="AI31" s="128"/>
      <c r="AJ31" s="128"/>
      <c r="AK31" s="130" t="s">
        <v>199</v>
      </c>
      <c r="AL31" s="130" t="s">
        <v>200</v>
      </c>
      <c r="AM31" s="128"/>
      <c r="AN31" s="128"/>
      <c r="AO31" s="23"/>
    </row>
    <row r="32" spans="1:41" s="5" customFormat="1" ht="12.75" customHeight="1" x14ac:dyDescent="0.2">
      <c r="A32" s="96" t="s">
        <v>201</v>
      </c>
      <c r="B32" s="65" t="s">
        <v>202</v>
      </c>
      <c r="C32" s="97" t="s">
        <v>203</v>
      </c>
      <c r="D32" s="107" t="s">
        <v>53</v>
      </c>
      <c r="E32" s="98"/>
      <c r="F32" s="98"/>
      <c r="G32" s="72"/>
      <c r="H32" s="74"/>
      <c r="I32" s="71"/>
      <c r="J32" s="72"/>
      <c r="K32" s="74" t="s">
        <v>204</v>
      </c>
      <c r="L32" s="74"/>
      <c r="M32" s="74"/>
      <c r="N32" s="74"/>
      <c r="O32" s="74"/>
      <c r="P32" s="74"/>
      <c r="Q32" s="74"/>
      <c r="R32" s="74"/>
      <c r="S32" s="74"/>
      <c r="T32" s="71"/>
      <c r="U32" s="72" t="s">
        <v>204</v>
      </c>
      <c r="V32" s="74"/>
      <c r="W32" s="74"/>
      <c r="X32" s="74"/>
      <c r="Y32" s="74"/>
      <c r="Z32" s="74"/>
      <c r="AA32" s="74"/>
      <c r="AB32" s="74"/>
      <c r="AC32" s="74"/>
      <c r="AD32" s="74"/>
      <c r="AE32" s="72"/>
      <c r="AF32" s="74"/>
      <c r="AG32" s="74"/>
      <c r="AH32" s="74"/>
      <c r="AI32" s="74"/>
      <c r="AJ32" s="74"/>
      <c r="AK32" s="74"/>
      <c r="AL32" s="74"/>
      <c r="AM32" s="74"/>
      <c r="AN32" s="74"/>
      <c r="AO32" s="23"/>
    </row>
    <row r="33" spans="1:41" s="5" customFormat="1" ht="12.75" customHeight="1" x14ac:dyDescent="0.2">
      <c r="A33" s="86"/>
      <c r="B33" s="75"/>
      <c r="C33" s="66" t="s">
        <v>205</v>
      </c>
      <c r="D33" s="67" t="s">
        <v>53</v>
      </c>
      <c r="E33" s="84"/>
      <c r="F33" s="84"/>
      <c r="G33" s="79"/>
      <c r="H33" s="80"/>
      <c r="I33" s="78"/>
      <c r="J33" s="79"/>
      <c r="K33" s="4" t="s">
        <v>206</v>
      </c>
      <c r="L33" s="4" t="s">
        <v>207</v>
      </c>
      <c r="M33" s="80"/>
      <c r="N33" s="80"/>
      <c r="O33" s="80"/>
      <c r="P33" s="80"/>
      <c r="Q33" s="80"/>
      <c r="R33" s="80"/>
      <c r="S33" s="80"/>
      <c r="T33" s="78"/>
      <c r="U33" s="76" t="s">
        <v>206</v>
      </c>
      <c r="V33" s="80"/>
      <c r="W33" s="80"/>
      <c r="X33" s="80"/>
      <c r="Y33" s="80"/>
      <c r="Z33" s="80"/>
      <c r="AA33" s="80"/>
      <c r="AB33" s="4" t="s">
        <v>208</v>
      </c>
      <c r="AC33" s="80"/>
      <c r="AD33" s="80"/>
      <c r="AE33" s="79"/>
      <c r="AF33" s="80"/>
      <c r="AG33" s="80"/>
      <c r="AH33" s="80"/>
      <c r="AI33" s="80"/>
      <c r="AJ33" s="80"/>
      <c r="AK33" s="7" t="s">
        <v>209</v>
      </c>
      <c r="AL33" s="7" t="s">
        <v>210</v>
      </c>
      <c r="AM33" s="80"/>
      <c r="AN33" s="80"/>
      <c r="AO33" s="23"/>
    </row>
    <row r="34" spans="1:41" s="5" customFormat="1" ht="12.75" customHeight="1" thickBot="1" x14ac:dyDescent="0.25">
      <c r="A34" s="131"/>
      <c r="B34" s="102"/>
      <c r="C34" s="103" t="s">
        <v>211</v>
      </c>
      <c r="D34" s="121" t="s">
        <v>53</v>
      </c>
      <c r="E34" s="89"/>
      <c r="F34" s="89"/>
      <c r="G34" s="90"/>
      <c r="H34" s="91"/>
      <c r="I34" s="92"/>
      <c r="J34" s="90"/>
      <c r="K34" s="91"/>
      <c r="L34" s="91"/>
      <c r="M34" s="91"/>
      <c r="N34" s="91"/>
      <c r="O34" s="91"/>
      <c r="P34" s="91"/>
      <c r="Q34" s="91"/>
      <c r="R34" s="91"/>
      <c r="S34" s="91"/>
      <c r="T34" s="92"/>
      <c r="U34" s="90" t="s">
        <v>212</v>
      </c>
      <c r="V34" s="91"/>
      <c r="W34" s="91"/>
      <c r="X34" s="91"/>
      <c r="Y34" s="91"/>
      <c r="Z34" s="91"/>
      <c r="AA34" s="91" t="s">
        <v>213</v>
      </c>
      <c r="AB34" s="91" t="s">
        <v>214</v>
      </c>
      <c r="AC34" s="91"/>
      <c r="AD34" s="91"/>
      <c r="AE34" s="90"/>
      <c r="AF34" s="91"/>
      <c r="AG34" s="91"/>
      <c r="AH34" s="91"/>
      <c r="AI34" s="91"/>
      <c r="AJ34" s="91"/>
      <c r="AK34" s="91"/>
      <c r="AL34" s="91"/>
      <c r="AM34" s="91"/>
      <c r="AN34" s="91"/>
      <c r="AO34" s="23"/>
    </row>
    <row r="35" spans="1:41" s="5" customFormat="1" ht="12.75" customHeight="1" x14ac:dyDescent="0.2">
      <c r="A35" s="132" t="s">
        <v>215</v>
      </c>
      <c r="B35" s="113" t="s">
        <v>216</v>
      </c>
      <c r="C35" s="114" t="s">
        <v>203</v>
      </c>
      <c r="D35" s="107" t="s">
        <v>53</v>
      </c>
      <c r="E35" s="98"/>
      <c r="F35" s="98"/>
      <c r="G35" s="72"/>
      <c r="H35" s="74"/>
      <c r="I35" s="71"/>
      <c r="J35" s="72"/>
      <c r="K35" s="70" t="s">
        <v>217</v>
      </c>
      <c r="L35" s="74"/>
      <c r="M35" s="74"/>
      <c r="N35" s="74"/>
      <c r="O35" s="74"/>
      <c r="P35" s="74"/>
      <c r="Q35" s="74"/>
      <c r="R35" s="74"/>
      <c r="S35" s="74"/>
      <c r="T35" s="71"/>
      <c r="U35" s="108" t="s">
        <v>217</v>
      </c>
      <c r="V35" s="74"/>
      <c r="W35" s="74"/>
      <c r="X35" s="74"/>
      <c r="Y35" s="74"/>
      <c r="Z35" s="74"/>
      <c r="AA35" s="74"/>
      <c r="AB35" s="74"/>
      <c r="AC35" s="74"/>
      <c r="AD35" s="74"/>
      <c r="AE35" s="72"/>
      <c r="AF35" s="74"/>
      <c r="AG35" s="74"/>
      <c r="AH35" s="74"/>
      <c r="AI35" s="74"/>
      <c r="AJ35" s="74"/>
      <c r="AK35" s="74"/>
      <c r="AL35" s="74"/>
      <c r="AM35" s="74"/>
      <c r="AN35" s="74"/>
      <c r="AO35" s="23"/>
    </row>
    <row r="36" spans="1:41" s="5" customFormat="1" ht="12.6" customHeight="1" x14ac:dyDescent="0.2">
      <c r="A36" s="133"/>
      <c r="B36" s="116"/>
      <c r="C36" s="117" t="s">
        <v>205</v>
      </c>
      <c r="D36" s="67" t="s">
        <v>53</v>
      </c>
      <c r="E36" s="84"/>
      <c r="F36" s="84"/>
      <c r="G36" s="79"/>
      <c r="H36" s="80"/>
      <c r="I36" s="78"/>
      <c r="J36" s="79"/>
      <c r="K36" s="4" t="s">
        <v>218</v>
      </c>
      <c r="L36" s="4" t="s">
        <v>219</v>
      </c>
      <c r="M36" s="80"/>
      <c r="N36" s="80"/>
      <c r="O36" s="80"/>
      <c r="P36" s="80"/>
      <c r="Q36" s="80"/>
      <c r="R36" s="80"/>
      <c r="S36" s="80"/>
      <c r="T36" s="78"/>
      <c r="U36" s="76" t="s">
        <v>218</v>
      </c>
      <c r="V36" s="80"/>
      <c r="W36" s="80"/>
      <c r="X36" s="80"/>
      <c r="Y36" s="80"/>
      <c r="Z36" s="80"/>
      <c r="AA36" s="80"/>
      <c r="AB36" s="4" t="s">
        <v>220</v>
      </c>
      <c r="AC36" s="80"/>
      <c r="AD36" s="80"/>
      <c r="AE36" s="79"/>
      <c r="AF36" s="80"/>
      <c r="AG36" s="80"/>
      <c r="AH36" s="80"/>
      <c r="AI36" s="80"/>
      <c r="AJ36" s="80"/>
      <c r="AK36" s="4" t="s">
        <v>221</v>
      </c>
      <c r="AL36" s="4" t="s">
        <v>222</v>
      </c>
      <c r="AM36" s="80"/>
      <c r="AN36" s="80"/>
      <c r="AO36" s="23"/>
    </row>
    <row r="37" spans="1:41" s="5" customFormat="1" ht="12.75" customHeight="1" thickBot="1" x14ac:dyDescent="0.25">
      <c r="A37" s="134"/>
      <c r="B37" s="119"/>
      <c r="C37" s="120" t="s">
        <v>211</v>
      </c>
      <c r="D37" s="121" t="s">
        <v>53</v>
      </c>
      <c r="E37" s="89"/>
      <c r="F37" s="89"/>
      <c r="G37" s="90"/>
      <c r="H37" s="91"/>
      <c r="I37" s="92"/>
      <c r="J37" s="90"/>
      <c r="K37" s="91"/>
      <c r="L37" s="91"/>
      <c r="M37" s="91"/>
      <c r="N37" s="91"/>
      <c r="O37" s="91"/>
      <c r="P37" s="91"/>
      <c r="Q37" s="91"/>
      <c r="R37" s="91"/>
      <c r="S37" s="91"/>
      <c r="T37" s="92"/>
      <c r="U37" s="135" t="s">
        <v>223</v>
      </c>
      <c r="V37" s="91"/>
      <c r="W37" s="91"/>
      <c r="X37" s="91"/>
      <c r="Y37" s="91"/>
      <c r="Z37" s="91"/>
      <c r="AA37" s="95" t="s">
        <v>224</v>
      </c>
      <c r="AB37" s="95" t="s">
        <v>225</v>
      </c>
      <c r="AC37" s="91"/>
      <c r="AD37" s="91"/>
      <c r="AE37" s="90"/>
      <c r="AF37" s="91"/>
      <c r="AG37" s="91"/>
      <c r="AH37" s="91"/>
      <c r="AI37" s="91"/>
      <c r="AJ37" s="91"/>
      <c r="AK37" s="91"/>
      <c r="AL37" s="91"/>
      <c r="AM37" s="91"/>
      <c r="AN37" s="91"/>
      <c r="AO37" s="23"/>
    </row>
    <row r="38" spans="1:41" s="5" customFormat="1" ht="12.45" customHeight="1" x14ac:dyDescent="0.2">
      <c r="A38" s="106" t="s">
        <v>226</v>
      </c>
      <c r="B38" s="136" t="s">
        <v>227</v>
      </c>
      <c r="C38" s="97" t="s">
        <v>52</v>
      </c>
      <c r="D38" s="107" t="s">
        <v>53</v>
      </c>
      <c r="E38" s="98"/>
      <c r="F38" s="98"/>
      <c r="G38" s="72"/>
      <c r="H38" s="74"/>
      <c r="I38" s="71"/>
      <c r="J38" s="72"/>
      <c r="K38" s="74" t="s">
        <v>228</v>
      </c>
      <c r="L38" s="74"/>
      <c r="M38" s="74"/>
      <c r="N38" s="74"/>
      <c r="O38" s="137"/>
      <c r="P38" s="138" t="s">
        <v>229</v>
      </c>
      <c r="Q38" s="74"/>
      <c r="R38" s="74"/>
      <c r="S38" s="74"/>
      <c r="T38" s="71"/>
      <c r="U38" s="72"/>
      <c r="V38" s="74"/>
      <c r="W38" s="74"/>
      <c r="X38" s="74"/>
      <c r="Y38" s="74"/>
      <c r="Z38" s="74"/>
      <c r="AA38" s="74"/>
      <c r="AB38" s="74"/>
      <c r="AC38" s="74"/>
      <c r="AD38" s="74"/>
      <c r="AE38" s="72"/>
      <c r="AF38" s="74"/>
      <c r="AG38" s="74"/>
      <c r="AH38" s="74"/>
      <c r="AI38" s="74"/>
      <c r="AJ38" s="74"/>
      <c r="AK38" s="74"/>
      <c r="AL38" s="74"/>
      <c r="AM38" s="74"/>
      <c r="AN38" s="74"/>
      <c r="AO38" s="23"/>
    </row>
    <row r="39" spans="1:41" s="5" customFormat="1" ht="12.75" customHeight="1" x14ac:dyDescent="0.2">
      <c r="A39" s="64"/>
      <c r="B39" s="75"/>
      <c r="C39" s="66" t="s">
        <v>60</v>
      </c>
      <c r="D39" s="66" t="s">
        <v>60</v>
      </c>
      <c r="E39" s="84"/>
      <c r="F39" s="84"/>
      <c r="G39" s="79"/>
      <c r="H39" s="80"/>
      <c r="I39" s="78"/>
      <c r="J39" s="83" t="s">
        <v>230</v>
      </c>
      <c r="K39" s="9" t="s">
        <v>231</v>
      </c>
      <c r="L39" s="7" t="s">
        <v>232</v>
      </c>
      <c r="M39" s="7" t="s">
        <v>233</v>
      </c>
      <c r="N39" s="80"/>
      <c r="O39" s="83" t="s">
        <v>234</v>
      </c>
      <c r="P39" s="83" t="s">
        <v>235</v>
      </c>
      <c r="Q39" s="80"/>
      <c r="R39" s="8" t="s">
        <v>236</v>
      </c>
      <c r="S39" s="80"/>
      <c r="T39" s="139" t="s">
        <v>237</v>
      </c>
      <c r="U39" s="79"/>
      <c r="V39" s="80"/>
      <c r="W39" s="80"/>
      <c r="X39" s="80"/>
      <c r="Y39" s="80"/>
      <c r="Z39" s="80"/>
      <c r="AA39" s="80"/>
      <c r="AB39" s="80"/>
      <c r="AC39" s="80"/>
      <c r="AD39" s="80"/>
      <c r="AE39" s="79"/>
      <c r="AF39" s="80"/>
      <c r="AG39" s="80"/>
      <c r="AH39" s="80"/>
      <c r="AI39" s="80"/>
      <c r="AJ39" s="80"/>
      <c r="AK39" s="80"/>
      <c r="AL39" s="80"/>
      <c r="AM39" s="80"/>
      <c r="AN39" s="80"/>
      <c r="AO39" s="23"/>
    </row>
    <row r="40" spans="1:41" s="5" customFormat="1" ht="12.75" customHeight="1" x14ac:dyDescent="0.2">
      <c r="A40" s="64"/>
      <c r="B40" s="75"/>
      <c r="C40" s="66" t="s">
        <v>72</v>
      </c>
      <c r="D40" s="66" t="s">
        <v>72</v>
      </c>
      <c r="E40" s="84"/>
      <c r="F40" s="84"/>
      <c r="G40" s="79"/>
      <c r="H40" s="80"/>
      <c r="I40" s="78"/>
      <c r="J40" s="76" t="s">
        <v>238</v>
      </c>
      <c r="K40" s="7" t="s">
        <v>239</v>
      </c>
      <c r="L40" s="7" t="s">
        <v>240</v>
      </c>
      <c r="M40" s="80"/>
      <c r="N40" s="80"/>
      <c r="O40" s="83" t="s">
        <v>241</v>
      </c>
      <c r="P40" s="83" t="s">
        <v>242</v>
      </c>
      <c r="Q40" s="80"/>
      <c r="R40" s="8" t="s">
        <v>243</v>
      </c>
      <c r="S40" s="80"/>
      <c r="T40" s="78"/>
      <c r="U40" s="85" t="s">
        <v>239</v>
      </c>
      <c r="V40" s="9" t="s">
        <v>240</v>
      </c>
      <c r="W40" s="7" t="s">
        <v>244</v>
      </c>
      <c r="X40" s="80"/>
      <c r="Y40" s="83" t="s">
        <v>241</v>
      </c>
      <c r="Z40" s="83" t="s">
        <v>242</v>
      </c>
      <c r="AA40" s="80"/>
      <c r="AB40" s="7" t="s">
        <v>243</v>
      </c>
      <c r="AC40" s="80"/>
      <c r="AD40" s="80"/>
      <c r="AE40" s="79" t="s">
        <v>245</v>
      </c>
      <c r="AF40" s="7" t="s">
        <v>246</v>
      </c>
      <c r="AG40" s="80"/>
      <c r="AH40" s="140" t="s">
        <v>247</v>
      </c>
      <c r="AI40" s="83" t="s">
        <v>248</v>
      </c>
      <c r="AJ40" s="83" t="s">
        <v>249</v>
      </c>
      <c r="AK40" s="80"/>
      <c r="AL40" s="80"/>
      <c r="AM40" s="80"/>
      <c r="AN40" s="4" t="s">
        <v>250</v>
      </c>
      <c r="AO40" s="23"/>
    </row>
    <row r="41" spans="1:41" s="5" customFormat="1" ht="12.75" customHeight="1" x14ac:dyDescent="0.2">
      <c r="A41" s="64"/>
      <c r="B41" s="75"/>
      <c r="C41" s="66" t="s">
        <v>84</v>
      </c>
      <c r="D41" s="66" t="s">
        <v>84</v>
      </c>
      <c r="E41" s="84"/>
      <c r="F41" s="84"/>
      <c r="G41" s="79"/>
      <c r="H41" s="80"/>
      <c r="I41" s="78"/>
      <c r="J41" s="79"/>
      <c r="K41" s="80"/>
      <c r="L41" s="80"/>
      <c r="M41" s="80"/>
      <c r="N41" s="80"/>
      <c r="O41" s="141"/>
      <c r="P41" s="83" t="s">
        <v>251</v>
      </c>
      <c r="Q41" s="80"/>
      <c r="R41" s="8" t="s">
        <v>252</v>
      </c>
      <c r="S41" s="80"/>
      <c r="T41" s="78"/>
      <c r="U41" s="85" t="s">
        <v>253</v>
      </c>
      <c r="V41" s="4" t="s">
        <v>254</v>
      </c>
      <c r="W41" s="7" t="s">
        <v>255</v>
      </c>
      <c r="X41" s="80"/>
      <c r="Y41" s="83" t="s">
        <v>256</v>
      </c>
      <c r="Z41" s="83" t="s">
        <v>251</v>
      </c>
      <c r="AA41" s="80"/>
      <c r="AB41" s="4" t="s">
        <v>252</v>
      </c>
      <c r="AC41" s="80"/>
      <c r="AD41" s="7" t="s">
        <v>257</v>
      </c>
      <c r="AE41" s="79"/>
      <c r="AF41" s="80"/>
      <c r="AG41" s="80"/>
      <c r="AH41" s="140" t="s">
        <v>258</v>
      </c>
      <c r="AI41" s="140"/>
      <c r="AJ41" s="83" t="s">
        <v>259</v>
      </c>
      <c r="AK41" s="80"/>
      <c r="AM41" s="80"/>
      <c r="AN41" s="80" t="s">
        <v>260</v>
      </c>
      <c r="AO41" s="23"/>
    </row>
    <row r="42" spans="1:41" s="5" customFormat="1" ht="12.75" customHeight="1" x14ac:dyDescent="0.2">
      <c r="A42" s="64"/>
      <c r="B42" s="75"/>
      <c r="C42" s="66" t="s">
        <v>88</v>
      </c>
      <c r="D42" s="66" t="s">
        <v>88</v>
      </c>
      <c r="E42" s="84"/>
      <c r="F42" s="84"/>
      <c r="G42" s="79"/>
      <c r="H42" s="80"/>
      <c r="I42" s="78"/>
      <c r="J42" s="79"/>
      <c r="K42" s="7" t="s">
        <v>261</v>
      </c>
      <c r="L42" s="7" t="s">
        <v>262</v>
      </c>
      <c r="M42" s="80"/>
      <c r="N42" s="80"/>
      <c r="O42" s="83" t="s">
        <v>263</v>
      </c>
      <c r="P42" s="83" t="s">
        <v>264</v>
      </c>
      <c r="Q42" s="80"/>
      <c r="R42" s="7" t="s">
        <v>265</v>
      </c>
      <c r="S42" s="80"/>
      <c r="T42" s="78"/>
      <c r="U42" s="85" t="s">
        <v>261</v>
      </c>
      <c r="V42" s="9" t="s">
        <v>262</v>
      </c>
      <c r="W42" s="80"/>
      <c r="X42" s="80"/>
      <c r="Y42" s="83" t="s">
        <v>263</v>
      </c>
      <c r="Z42" s="83" t="s">
        <v>264</v>
      </c>
      <c r="AA42" s="80"/>
      <c r="AB42" s="7" t="s">
        <v>265</v>
      </c>
      <c r="AC42" s="80"/>
      <c r="AD42" s="80"/>
      <c r="AE42" s="79"/>
      <c r="AF42" s="80"/>
      <c r="AG42" s="80"/>
      <c r="AH42" s="140" t="s">
        <v>266</v>
      </c>
      <c r="AI42" s="140"/>
      <c r="AJ42" s="83" t="s">
        <v>267</v>
      </c>
      <c r="AK42" s="80"/>
      <c r="AL42" s="7" t="s">
        <v>268</v>
      </c>
      <c r="AM42" s="4"/>
      <c r="AN42" s="9" t="s">
        <v>269</v>
      </c>
      <c r="AO42" s="23"/>
    </row>
    <row r="43" spans="1:41" s="5" customFormat="1" ht="12.75" customHeight="1" thickBot="1" x14ac:dyDescent="0.25">
      <c r="A43" s="101"/>
      <c r="B43" s="102"/>
      <c r="C43" s="103" t="s">
        <v>97</v>
      </c>
      <c r="D43" s="103" t="s">
        <v>97</v>
      </c>
      <c r="E43" s="89"/>
      <c r="F43" s="89"/>
      <c r="G43" s="90"/>
      <c r="H43" s="91"/>
      <c r="I43" s="92"/>
      <c r="J43" s="90"/>
      <c r="K43" s="95" t="s">
        <v>270</v>
      </c>
      <c r="L43" s="95" t="s">
        <v>271</v>
      </c>
      <c r="M43" s="91"/>
      <c r="N43" s="91"/>
      <c r="O43" s="142" t="s">
        <v>272</v>
      </c>
      <c r="P43" s="142" t="s">
        <v>273</v>
      </c>
      <c r="Q43" s="91"/>
      <c r="R43" s="91"/>
      <c r="S43" s="91"/>
      <c r="T43" s="92"/>
      <c r="U43" s="135" t="s">
        <v>270</v>
      </c>
      <c r="V43" s="95" t="s">
        <v>271</v>
      </c>
      <c r="W43" s="91"/>
      <c r="X43" s="91"/>
      <c r="Y43" s="142" t="s">
        <v>272</v>
      </c>
      <c r="Z43" s="142" t="s">
        <v>273</v>
      </c>
      <c r="AA43" s="91"/>
      <c r="AB43" s="94" t="s">
        <v>274</v>
      </c>
      <c r="AC43" s="91"/>
      <c r="AD43" s="91"/>
      <c r="AE43" s="90"/>
      <c r="AF43" s="91"/>
      <c r="AG43" s="91"/>
      <c r="AH43" s="143" t="s">
        <v>275</v>
      </c>
      <c r="AI43" s="143"/>
      <c r="AJ43" s="142" t="s">
        <v>276</v>
      </c>
      <c r="AK43" s="91"/>
      <c r="AL43" s="144" t="s">
        <v>277</v>
      </c>
      <c r="AM43" s="91"/>
      <c r="AN43" s="95" t="s">
        <v>278</v>
      </c>
      <c r="AO43" s="23"/>
    </row>
    <row r="44" spans="1:41" s="5" customFormat="1" ht="12.75" customHeight="1" x14ac:dyDescent="0.2">
      <c r="A44" s="96" t="s">
        <v>279</v>
      </c>
      <c r="B44" s="65" t="s">
        <v>280</v>
      </c>
      <c r="C44" s="97" t="s">
        <v>139</v>
      </c>
      <c r="D44" s="107" t="s">
        <v>53</v>
      </c>
      <c r="E44" s="98"/>
      <c r="F44" s="98"/>
      <c r="G44" s="72"/>
      <c r="H44" s="74"/>
      <c r="I44" s="71"/>
      <c r="J44" s="72"/>
      <c r="K44" s="73" t="s">
        <v>281</v>
      </c>
      <c r="L44" s="73" t="s">
        <v>282</v>
      </c>
      <c r="M44" s="74"/>
      <c r="N44" s="74"/>
      <c r="O44" s="138" t="s">
        <v>283</v>
      </c>
      <c r="P44" s="138" t="s">
        <v>284</v>
      </c>
      <c r="Q44" s="74"/>
      <c r="R44" s="74"/>
      <c r="S44" s="74"/>
      <c r="T44" s="71"/>
      <c r="U44" s="72"/>
      <c r="V44" s="74"/>
      <c r="W44" s="74"/>
      <c r="X44" s="74"/>
      <c r="Y44" s="74"/>
      <c r="Z44" s="74"/>
      <c r="AA44" s="74"/>
      <c r="AB44" s="74"/>
      <c r="AC44" s="74"/>
      <c r="AD44" s="74"/>
      <c r="AE44" s="72"/>
      <c r="AF44" s="74"/>
      <c r="AG44" s="74"/>
      <c r="AH44" s="74"/>
      <c r="AI44" s="74"/>
      <c r="AJ44" s="74"/>
      <c r="AK44" s="74"/>
      <c r="AL44" s="74"/>
      <c r="AM44" s="74"/>
      <c r="AN44" s="74"/>
      <c r="AO44" s="23"/>
    </row>
    <row r="45" spans="1:41" s="5" customFormat="1" ht="12.75" customHeight="1" x14ac:dyDescent="0.2">
      <c r="A45" s="64"/>
      <c r="B45" s="75"/>
      <c r="C45" s="66" t="s">
        <v>148</v>
      </c>
      <c r="D45" s="67" t="s">
        <v>53</v>
      </c>
      <c r="E45" s="84"/>
      <c r="F45" s="84"/>
      <c r="G45" s="79"/>
      <c r="H45" s="80"/>
      <c r="I45" s="78"/>
      <c r="J45" s="79"/>
      <c r="K45" s="7" t="s">
        <v>285</v>
      </c>
      <c r="L45" s="7" t="s">
        <v>286</v>
      </c>
      <c r="M45" s="80"/>
      <c r="N45" s="80"/>
      <c r="O45" s="83" t="s">
        <v>287</v>
      </c>
      <c r="P45" s="83" t="s">
        <v>288</v>
      </c>
      <c r="Q45" s="80"/>
      <c r="R45" s="80"/>
      <c r="S45" s="80"/>
      <c r="T45" s="78"/>
      <c r="U45" s="79"/>
      <c r="V45" s="80"/>
      <c r="W45" s="80"/>
      <c r="X45" s="80"/>
      <c r="Y45" s="80"/>
      <c r="Z45" s="80"/>
      <c r="AA45" s="80"/>
      <c r="AB45" s="80"/>
      <c r="AC45" s="80"/>
      <c r="AD45" s="80"/>
      <c r="AE45" s="79"/>
      <c r="AF45" s="80"/>
      <c r="AG45" s="80"/>
      <c r="AH45" s="80"/>
      <c r="AI45" s="80"/>
      <c r="AJ45" s="80"/>
      <c r="AK45" s="80"/>
      <c r="AL45" s="80"/>
      <c r="AM45" s="80"/>
      <c r="AN45" s="80"/>
      <c r="AO45" s="23"/>
    </row>
    <row r="46" spans="1:41" s="5" customFormat="1" ht="12.75" customHeight="1" x14ac:dyDescent="0.2">
      <c r="A46" s="64"/>
      <c r="B46" s="75"/>
      <c r="C46" s="88" t="s">
        <v>154</v>
      </c>
      <c r="D46" s="145" t="s">
        <v>53</v>
      </c>
      <c r="E46" s="146"/>
      <c r="F46" s="146"/>
      <c r="G46" s="147"/>
      <c r="H46" s="148"/>
      <c r="I46" s="149"/>
      <c r="J46" s="147"/>
      <c r="K46" s="150" t="s">
        <v>289</v>
      </c>
      <c r="L46" s="150" t="s">
        <v>290</v>
      </c>
      <c r="M46" s="148"/>
      <c r="N46" s="148"/>
      <c r="O46" s="151" t="s">
        <v>291</v>
      </c>
      <c r="P46" s="151" t="s">
        <v>292</v>
      </c>
      <c r="Q46" s="148"/>
      <c r="R46" s="148"/>
      <c r="S46" s="148"/>
      <c r="T46" s="149"/>
      <c r="U46" s="147"/>
      <c r="V46" s="148"/>
      <c r="W46" s="148"/>
      <c r="X46" s="148"/>
      <c r="Y46" s="148"/>
      <c r="Z46" s="148"/>
      <c r="AA46" s="148"/>
      <c r="AB46" s="148"/>
      <c r="AC46" s="148"/>
      <c r="AD46" s="148"/>
      <c r="AE46" s="147"/>
      <c r="AF46" s="148"/>
      <c r="AG46" s="148"/>
      <c r="AH46" s="148"/>
      <c r="AI46" s="148"/>
      <c r="AJ46" s="83" t="s">
        <v>293</v>
      </c>
      <c r="AK46" s="148"/>
      <c r="AL46" s="7" t="s">
        <v>294</v>
      </c>
      <c r="AM46" s="148"/>
      <c r="AN46" s="148"/>
      <c r="AO46" s="23"/>
    </row>
    <row r="47" spans="1:41" s="5" customFormat="1" ht="12.75" customHeight="1" thickBot="1" x14ac:dyDescent="0.25">
      <c r="A47" s="101"/>
      <c r="B47" s="102"/>
      <c r="C47" s="103" t="s">
        <v>167</v>
      </c>
      <c r="D47" s="121" t="s">
        <v>53</v>
      </c>
      <c r="E47" s="89"/>
      <c r="F47" s="89"/>
      <c r="G47" s="90"/>
      <c r="H47" s="91"/>
      <c r="I47" s="92"/>
      <c r="J47" s="90"/>
      <c r="K47" s="94"/>
      <c r="L47" s="94"/>
      <c r="M47" s="91"/>
      <c r="N47" s="91"/>
      <c r="O47" s="142"/>
      <c r="P47" s="142"/>
      <c r="Q47" s="91"/>
      <c r="R47" s="91"/>
      <c r="S47" s="91"/>
      <c r="T47" s="92"/>
      <c r="U47" s="90"/>
      <c r="V47" s="91"/>
      <c r="W47" s="91"/>
      <c r="X47" s="91"/>
      <c r="Y47" s="91"/>
      <c r="Z47" s="91"/>
      <c r="AA47" s="91"/>
      <c r="AB47" s="91"/>
      <c r="AC47" s="91"/>
      <c r="AD47" s="91"/>
      <c r="AE47" s="90"/>
      <c r="AF47" s="91"/>
      <c r="AG47" s="91"/>
      <c r="AH47" s="91"/>
      <c r="AI47" s="91"/>
      <c r="AJ47" s="152" t="s">
        <v>295</v>
      </c>
      <c r="AK47" s="91"/>
      <c r="AL47" s="152" t="s">
        <v>296</v>
      </c>
      <c r="AM47" s="91"/>
      <c r="AN47" s="91"/>
      <c r="AO47" s="23"/>
    </row>
    <row r="48" spans="1:41" s="5" customFormat="1" ht="12.75" customHeight="1" thickBot="1" x14ac:dyDescent="0.25">
      <c r="A48" s="122" t="s">
        <v>297</v>
      </c>
      <c r="B48" s="123" t="s">
        <v>298</v>
      </c>
      <c r="C48" s="124" t="s">
        <v>299</v>
      </c>
      <c r="D48" s="125" t="s">
        <v>53</v>
      </c>
      <c r="E48" s="126"/>
      <c r="F48" s="126"/>
      <c r="G48" s="127"/>
      <c r="H48" s="128"/>
      <c r="I48" s="129"/>
      <c r="J48" s="127"/>
      <c r="K48" s="128"/>
      <c r="L48" s="130" t="s">
        <v>300</v>
      </c>
      <c r="M48" s="128"/>
      <c r="N48" s="128"/>
      <c r="O48" s="153"/>
      <c r="P48" s="153" t="s">
        <v>301</v>
      </c>
      <c r="Q48" s="128"/>
      <c r="R48" s="153" t="s">
        <v>302</v>
      </c>
      <c r="S48" s="128"/>
      <c r="T48" s="129"/>
      <c r="U48" s="127"/>
      <c r="V48" s="128"/>
      <c r="W48" s="128"/>
      <c r="X48" s="128"/>
      <c r="Y48" s="128"/>
      <c r="Z48" s="128"/>
      <c r="AA48" s="128"/>
      <c r="AB48" s="128"/>
      <c r="AC48" s="128"/>
      <c r="AD48" s="128"/>
      <c r="AE48" s="127"/>
      <c r="AF48" s="153" t="s">
        <v>303</v>
      </c>
      <c r="AG48" s="128"/>
      <c r="AH48" s="128"/>
      <c r="AI48" s="128"/>
      <c r="AJ48" s="153" t="s">
        <v>304</v>
      </c>
      <c r="AK48" s="128"/>
      <c r="AL48" s="128"/>
      <c r="AM48" s="128"/>
      <c r="AN48" s="130" t="s">
        <v>305</v>
      </c>
      <c r="AO48" s="23"/>
    </row>
    <row r="49" spans="1:41" s="5" customFormat="1" ht="12.75" customHeight="1" x14ac:dyDescent="0.2">
      <c r="A49" s="96" t="s">
        <v>306</v>
      </c>
      <c r="B49" s="154" t="s">
        <v>307</v>
      </c>
      <c r="C49" s="97" t="s">
        <v>308</v>
      </c>
      <c r="D49" s="107" t="s">
        <v>53</v>
      </c>
      <c r="E49" s="98"/>
      <c r="F49" s="98"/>
      <c r="G49" s="72"/>
      <c r="H49" s="74"/>
      <c r="I49" s="71"/>
      <c r="J49" s="155" t="s">
        <v>309</v>
      </c>
      <c r="K49" s="73" t="s">
        <v>310</v>
      </c>
      <c r="L49" s="73" t="s">
        <v>311</v>
      </c>
      <c r="M49" s="74"/>
      <c r="N49" s="74"/>
      <c r="O49" s="138" t="s">
        <v>312</v>
      </c>
      <c r="P49" s="138" t="s">
        <v>313</v>
      </c>
      <c r="Q49" s="74"/>
      <c r="R49" s="74"/>
      <c r="S49" s="74"/>
      <c r="T49" s="156"/>
      <c r="U49" s="72"/>
      <c r="V49" s="74"/>
      <c r="W49" s="74"/>
      <c r="X49" s="74"/>
      <c r="Y49" s="74"/>
      <c r="Z49" s="74"/>
      <c r="AA49" s="74"/>
      <c r="AB49" s="74"/>
      <c r="AC49" s="74"/>
      <c r="AD49" s="74"/>
      <c r="AE49" s="72"/>
      <c r="AF49" s="74"/>
      <c r="AG49" s="74"/>
      <c r="AH49" s="74"/>
      <c r="AI49" s="74"/>
      <c r="AJ49" s="74"/>
      <c r="AK49" s="74"/>
      <c r="AL49" s="74"/>
      <c r="AM49" s="74"/>
      <c r="AN49" s="74"/>
      <c r="AO49" s="23"/>
    </row>
    <row r="50" spans="1:41" s="5" customFormat="1" ht="12.75" customHeight="1" x14ac:dyDescent="0.2">
      <c r="A50" s="64"/>
      <c r="B50" s="157"/>
      <c r="C50" s="66" t="s">
        <v>314</v>
      </c>
      <c r="D50" s="67" t="s">
        <v>53</v>
      </c>
      <c r="E50" s="84"/>
      <c r="F50" s="84"/>
      <c r="G50" s="79"/>
      <c r="H50" s="80"/>
      <c r="I50" s="78"/>
      <c r="J50" s="76" t="s">
        <v>315</v>
      </c>
      <c r="K50" s="7" t="s">
        <v>316</v>
      </c>
      <c r="L50" s="7" t="s">
        <v>317</v>
      </c>
      <c r="M50" s="158"/>
      <c r="N50" s="158"/>
      <c r="O50" s="83" t="s">
        <v>318</v>
      </c>
      <c r="P50" s="83" t="s">
        <v>319</v>
      </c>
      <c r="Q50" s="80"/>
      <c r="R50" s="7" t="s">
        <v>320</v>
      </c>
      <c r="S50" s="80"/>
      <c r="T50" s="78"/>
      <c r="U50" s="79"/>
      <c r="V50" s="80"/>
      <c r="W50" s="80"/>
      <c r="X50" s="80"/>
      <c r="Y50" s="80"/>
      <c r="Z50" s="80"/>
      <c r="AA50" s="80"/>
      <c r="AB50" s="80"/>
      <c r="AC50" s="80"/>
      <c r="AD50" s="80"/>
      <c r="AE50" s="79"/>
      <c r="AF50" s="80"/>
      <c r="AG50" s="140" t="s">
        <v>321</v>
      </c>
      <c r="AH50" s="140" t="s">
        <v>322</v>
      </c>
      <c r="AI50" s="83" t="s">
        <v>323</v>
      </c>
      <c r="AJ50" s="83" t="s">
        <v>324</v>
      </c>
      <c r="AK50" s="80"/>
      <c r="AL50" s="80"/>
      <c r="AM50" s="80"/>
      <c r="AN50" s="80"/>
      <c r="AO50" s="23"/>
    </row>
    <row r="51" spans="1:41" s="5" customFormat="1" ht="12.75" customHeight="1" x14ac:dyDescent="0.2">
      <c r="A51" s="64"/>
      <c r="B51" s="75"/>
      <c r="C51" s="66" t="s">
        <v>325</v>
      </c>
      <c r="D51" s="67" t="s">
        <v>53</v>
      </c>
      <c r="E51" s="84"/>
      <c r="F51" s="84"/>
      <c r="G51" s="79"/>
      <c r="H51" s="80"/>
      <c r="I51" s="78"/>
      <c r="J51" s="76" t="s">
        <v>326</v>
      </c>
      <c r="K51" s="7" t="s">
        <v>327</v>
      </c>
      <c r="L51" s="7" t="s">
        <v>328</v>
      </c>
      <c r="M51" s="4" t="s">
        <v>329</v>
      </c>
      <c r="N51" s="4" t="s">
        <v>330</v>
      </c>
      <c r="O51" s="83" t="s">
        <v>331</v>
      </c>
      <c r="P51" s="83" t="s">
        <v>332</v>
      </c>
      <c r="Q51" s="80"/>
      <c r="R51" s="7" t="s">
        <v>333</v>
      </c>
      <c r="S51" s="80"/>
      <c r="T51" s="78"/>
      <c r="U51" s="79"/>
      <c r="V51" s="80"/>
      <c r="W51" s="80"/>
      <c r="X51" s="80"/>
      <c r="Y51" s="80"/>
      <c r="Z51" s="80"/>
      <c r="AA51" s="80"/>
      <c r="AB51" s="80"/>
      <c r="AC51" s="80"/>
      <c r="AD51" s="80"/>
      <c r="AE51" s="79"/>
      <c r="AF51" s="80"/>
      <c r="AG51" s="4" t="s">
        <v>334</v>
      </c>
      <c r="AH51" s="4" t="s">
        <v>335</v>
      </c>
      <c r="AI51" s="83" t="s">
        <v>336</v>
      </c>
      <c r="AJ51" s="83" t="s">
        <v>337</v>
      </c>
      <c r="AK51" s="80"/>
      <c r="AL51" s="7" t="s">
        <v>338</v>
      </c>
      <c r="AM51" s="80"/>
      <c r="AN51" s="4" t="s">
        <v>339</v>
      </c>
      <c r="AO51" s="23"/>
    </row>
    <row r="52" spans="1:41" s="5" customFormat="1" ht="12.75" customHeight="1" thickBot="1" x14ac:dyDescent="0.25">
      <c r="A52" s="159"/>
      <c r="B52" s="160"/>
      <c r="C52" s="103" t="s">
        <v>340</v>
      </c>
      <c r="D52" s="121" t="s">
        <v>53</v>
      </c>
      <c r="E52" s="89"/>
      <c r="F52" s="89"/>
      <c r="G52" s="90"/>
      <c r="H52" s="91"/>
      <c r="I52" s="92"/>
      <c r="J52" s="90"/>
      <c r="K52" s="91"/>
      <c r="L52" s="91"/>
      <c r="M52" s="91"/>
      <c r="N52" s="91"/>
      <c r="O52" s="91"/>
      <c r="P52" s="91"/>
      <c r="Q52" s="91"/>
      <c r="R52" s="91"/>
      <c r="S52" s="91"/>
      <c r="T52" s="92"/>
      <c r="U52" s="90"/>
      <c r="V52" s="91"/>
      <c r="W52" s="91"/>
      <c r="X52" s="91"/>
      <c r="Y52" s="91"/>
      <c r="Z52" s="91"/>
      <c r="AA52" s="91"/>
      <c r="AB52" s="91"/>
      <c r="AC52" s="91"/>
      <c r="AD52" s="91"/>
      <c r="AE52" s="90"/>
      <c r="AF52" s="91"/>
      <c r="AG52" s="91"/>
      <c r="AH52" s="91"/>
      <c r="AK52" s="91"/>
      <c r="AL52" s="91"/>
      <c r="AM52" s="91"/>
      <c r="AN52" s="91"/>
      <c r="AO52" s="23"/>
    </row>
    <row r="53" spans="1:41" s="5" customFormat="1" ht="12.75" customHeight="1" x14ac:dyDescent="0.2">
      <c r="A53" s="96" t="s">
        <v>341</v>
      </c>
      <c r="B53" s="65" t="s">
        <v>342</v>
      </c>
      <c r="C53" s="97" t="s">
        <v>343</v>
      </c>
      <c r="D53" s="107" t="s">
        <v>53</v>
      </c>
      <c r="E53" s="98"/>
      <c r="F53" s="98"/>
      <c r="G53" s="72"/>
      <c r="H53" s="74"/>
      <c r="I53" s="71"/>
      <c r="J53" s="72"/>
      <c r="K53" s="74"/>
      <c r="L53" s="74"/>
      <c r="M53" s="74"/>
      <c r="N53" s="74"/>
      <c r="O53" s="137"/>
      <c r="P53" s="137"/>
      <c r="Q53" s="74"/>
      <c r="R53" s="74"/>
      <c r="S53" s="74"/>
      <c r="T53" s="71"/>
      <c r="U53" s="72"/>
      <c r="V53" s="74"/>
      <c r="W53" s="74"/>
      <c r="X53" s="74"/>
      <c r="Y53" s="74"/>
      <c r="Z53" s="74"/>
      <c r="AA53" s="74"/>
      <c r="AB53" s="74"/>
      <c r="AC53" s="74"/>
      <c r="AD53" s="74"/>
      <c r="AE53" s="72"/>
      <c r="AF53" s="74"/>
      <c r="AG53" s="74"/>
      <c r="AH53" s="74"/>
      <c r="AI53" s="74"/>
      <c r="AJ53" s="74"/>
      <c r="AK53" s="74"/>
      <c r="AL53" s="74"/>
      <c r="AM53" s="74"/>
      <c r="AN53" s="74"/>
      <c r="AO53" s="23"/>
    </row>
    <row r="54" spans="1:41" s="5" customFormat="1" ht="12.75" customHeight="1" x14ac:dyDescent="0.2">
      <c r="A54" s="64"/>
      <c r="B54" s="75"/>
      <c r="C54" s="66" t="s">
        <v>344</v>
      </c>
      <c r="D54" s="67" t="s">
        <v>53</v>
      </c>
      <c r="E54" s="84"/>
      <c r="F54" s="84"/>
      <c r="G54" s="79"/>
      <c r="H54" s="80"/>
      <c r="I54" s="78"/>
      <c r="J54" s="79"/>
      <c r="K54" s="161"/>
      <c r="L54" s="7" t="s">
        <v>345</v>
      </c>
      <c r="M54" s="80"/>
      <c r="N54" s="80"/>
      <c r="O54" s="141"/>
      <c r="P54" s="83" t="s">
        <v>346</v>
      </c>
      <c r="Q54" s="80"/>
      <c r="R54" s="80"/>
      <c r="S54" s="80"/>
      <c r="T54" s="78"/>
      <c r="U54" s="79"/>
      <c r="V54" s="80"/>
      <c r="W54" s="80"/>
      <c r="X54" s="80"/>
      <c r="Y54" s="80"/>
      <c r="Z54" s="80"/>
      <c r="AA54" s="80"/>
      <c r="AB54" s="80"/>
      <c r="AC54" s="80"/>
      <c r="AD54" s="80"/>
      <c r="AE54" s="79"/>
      <c r="AF54" s="80"/>
      <c r="AG54" s="80"/>
      <c r="AH54" s="80"/>
      <c r="AI54" s="80"/>
      <c r="AJ54" s="80"/>
      <c r="AK54" s="80"/>
      <c r="AL54" s="80"/>
      <c r="AM54" s="80"/>
      <c r="AN54" s="80"/>
      <c r="AO54" s="23"/>
    </row>
    <row r="55" spans="1:41" s="5" customFormat="1" ht="12.75" customHeight="1" thickBot="1" x14ac:dyDescent="0.25">
      <c r="A55" s="101"/>
      <c r="B55" s="102"/>
      <c r="C55" s="103" t="s">
        <v>347</v>
      </c>
      <c r="D55" s="121" t="s">
        <v>53</v>
      </c>
      <c r="E55" s="89"/>
      <c r="F55" s="89"/>
      <c r="G55" s="90"/>
      <c r="H55" s="91"/>
      <c r="I55" s="92"/>
      <c r="J55" s="90"/>
      <c r="K55" s="94" t="s">
        <v>348</v>
      </c>
      <c r="L55" s="94" t="s">
        <v>349</v>
      </c>
      <c r="M55" s="91"/>
      <c r="N55" s="91"/>
      <c r="O55" s="142" t="s">
        <v>350</v>
      </c>
      <c r="P55" s="142" t="s">
        <v>351</v>
      </c>
      <c r="Q55" s="91"/>
      <c r="R55" s="142" t="s">
        <v>352</v>
      </c>
      <c r="S55" s="91"/>
      <c r="T55" s="92"/>
      <c r="U55" s="90"/>
      <c r="V55" s="91"/>
      <c r="W55" s="91"/>
      <c r="X55" s="91"/>
      <c r="Y55" s="91"/>
      <c r="Z55" s="91"/>
      <c r="AA55" s="91"/>
      <c r="AB55" s="91"/>
      <c r="AC55" s="91"/>
      <c r="AD55" s="91"/>
      <c r="AE55" s="90"/>
      <c r="AF55" s="91"/>
      <c r="AG55" s="91"/>
      <c r="AH55" s="91"/>
      <c r="AI55" s="91"/>
      <c r="AJ55" s="162" t="s">
        <v>353</v>
      </c>
      <c r="AK55" s="91"/>
      <c r="AL55" s="94" t="s">
        <v>354</v>
      </c>
      <c r="AM55" s="91"/>
      <c r="AN55" s="91"/>
      <c r="AO55" s="23"/>
    </row>
    <row r="56" spans="1:41" s="5" customFormat="1" ht="12.75" customHeight="1" thickBot="1" x14ac:dyDescent="0.25">
      <c r="A56" s="122" t="s">
        <v>355</v>
      </c>
      <c r="B56" s="163" t="s">
        <v>356</v>
      </c>
      <c r="C56" s="164" t="s">
        <v>357</v>
      </c>
      <c r="D56" s="125" t="s">
        <v>53</v>
      </c>
      <c r="E56" s="126"/>
      <c r="F56" s="126"/>
      <c r="G56" s="127"/>
      <c r="H56" s="128"/>
      <c r="I56" s="129"/>
      <c r="J56" s="127"/>
      <c r="K56" s="128"/>
      <c r="L56" s="165" t="s">
        <v>358</v>
      </c>
      <c r="M56" s="128"/>
      <c r="N56" s="128"/>
      <c r="O56" s="153"/>
      <c r="P56" s="153" t="s">
        <v>359</v>
      </c>
      <c r="Q56" s="128"/>
      <c r="R56" s="130" t="s">
        <v>360</v>
      </c>
      <c r="S56" s="128"/>
      <c r="T56" s="129"/>
      <c r="U56" s="127"/>
      <c r="V56" s="128"/>
      <c r="W56" s="128"/>
      <c r="X56" s="128"/>
      <c r="Y56" s="128"/>
      <c r="Z56" s="128"/>
      <c r="AA56" s="128"/>
      <c r="AB56" s="128"/>
      <c r="AC56" s="128"/>
      <c r="AD56" s="128"/>
      <c r="AE56" s="127"/>
      <c r="AF56" s="128"/>
      <c r="AG56" s="128"/>
      <c r="AH56" s="128"/>
      <c r="AI56" s="128"/>
      <c r="AJ56" s="153" t="s">
        <v>361</v>
      </c>
      <c r="AK56" s="128"/>
      <c r="AL56" s="128"/>
      <c r="AM56" s="128"/>
      <c r="AN56" s="130" t="s">
        <v>362</v>
      </c>
      <c r="AO56" s="23"/>
    </row>
    <row r="57" spans="1:41" s="5" customFormat="1" ht="12.75" customHeight="1" x14ac:dyDescent="0.2">
      <c r="A57" s="64" t="s">
        <v>363</v>
      </c>
      <c r="B57" s="157" t="s">
        <v>364</v>
      </c>
      <c r="C57" s="166" t="s">
        <v>365</v>
      </c>
      <c r="D57" s="167" t="s">
        <v>53</v>
      </c>
      <c r="E57" s="168"/>
      <c r="F57" s="168"/>
      <c r="G57" s="169"/>
      <c r="H57" s="170"/>
      <c r="I57" s="171"/>
      <c r="J57" s="169"/>
      <c r="K57" s="172" t="s">
        <v>366</v>
      </c>
      <c r="L57" s="173" t="s">
        <v>367</v>
      </c>
      <c r="M57" s="170"/>
      <c r="N57" s="170"/>
      <c r="O57" s="172" t="s">
        <v>368</v>
      </c>
      <c r="P57" s="172" t="s">
        <v>369</v>
      </c>
      <c r="Q57" s="170"/>
      <c r="R57" s="170"/>
      <c r="S57" s="170"/>
      <c r="T57" s="171"/>
      <c r="U57" s="169"/>
      <c r="V57" s="170"/>
      <c r="W57" s="170"/>
      <c r="X57" s="170"/>
      <c r="Y57" s="170"/>
      <c r="Z57" s="170"/>
      <c r="AA57" s="170"/>
      <c r="AB57" s="170"/>
      <c r="AC57" s="170"/>
      <c r="AD57" s="170"/>
      <c r="AE57" s="169"/>
      <c r="AF57" s="170"/>
      <c r="AG57" s="170"/>
      <c r="AH57" s="170"/>
      <c r="AI57" s="170"/>
      <c r="AK57" s="170"/>
      <c r="AL57" s="170"/>
      <c r="AM57" s="170"/>
      <c r="AN57" s="170"/>
      <c r="AO57" s="23"/>
    </row>
    <row r="58" spans="1:41" s="5" customFormat="1" ht="12.75" customHeight="1" x14ac:dyDescent="0.2">
      <c r="A58" s="64"/>
      <c r="B58" s="157"/>
      <c r="C58" s="174" t="s">
        <v>370</v>
      </c>
      <c r="D58" s="67" t="s">
        <v>53</v>
      </c>
      <c r="E58" s="84"/>
      <c r="F58" s="84"/>
      <c r="G58" s="79"/>
      <c r="H58" s="80"/>
      <c r="I58" s="78"/>
      <c r="J58" s="79"/>
      <c r="K58" s="7" t="s">
        <v>371</v>
      </c>
      <c r="L58" s="7" t="s">
        <v>372</v>
      </c>
      <c r="M58" s="80"/>
      <c r="N58" s="80"/>
      <c r="O58" s="83" t="s">
        <v>373</v>
      </c>
      <c r="P58" s="83" t="s">
        <v>374</v>
      </c>
      <c r="Q58" s="80"/>
      <c r="R58" s="9" t="s">
        <v>375</v>
      </c>
      <c r="S58" s="80"/>
      <c r="T58" s="78"/>
      <c r="U58" s="79"/>
      <c r="V58" s="80"/>
      <c r="W58" s="80"/>
      <c r="X58" s="80"/>
      <c r="Y58" s="80"/>
      <c r="Z58" s="80"/>
      <c r="AA58" s="80"/>
      <c r="AB58" s="80"/>
      <c r="AC58" s="80"/>
      <c r="AD58" s="80"/>
      <c r="AE58" s="79"/>
      <c r="AF58" s="80"/>
      <c r="AG58" s="80"/>
      <c r="AH58" s="80"/>
      <c r="AI58" s="80"/>
      <c r="AJ58" s="83" t="s">
        <v>376</v>
      </c>
      <c r="AK58" s="80"/>
      <c r="AL58" s="7" t="s">
        <v>377</v>
      </c>
      <c r="AM58" s="80"/>
      <c r="AN58" s="80"/>
      <c r="AO58" s="23"/>
    </row>
    <row r="59" spans="1:41" s="5" customFormat="1" ht="12.75" customHeight="1" x14ac:dyDescent="0.2">
      <c r="A59" s="64"/>
      <c r="B59" s="175"/>
      <c r="C59" s="66" t="s">
        <v>378</v>
      </c>
      <c r="D59" s="67" t="s">
        <v>53</v>
      </c>
      <c r="E59" s="84"/>
      <c r="F59" s="84"/>
      <c r="G59" s="79"/>
      <c r="H59" s="80"/>
      <c r="I59" s="78"/>
      <c r="J59" s="79"/>
      <c r="K59" s="7" t="s">
        <v>379</v>
      </c>
      <c r="L59" s="7" t="s">
        <v>380</v>
      </c>
      <c r="M59" s="80"/>
      <c r="N59" s="80"/>
      <c r="O59" s="83" t="s">
        <v>381</v>
      </c>
      <c r="P59" s="83" t="s">
        <v>382</v>
      </c>
      <c r="Q59" s="80"/>
      <c r="R59" s="9" t="s">
        <v>383</v>
      </c>
      <c r="S59" s="80"/>
      <c r="T59" s="78"/>
      <c r="U59" s="79"/>
      <c r="V59" s="80"/>
      <c r="W59" s="80"/>
      <c r="X59" s="80"/>
      <c r="Y59" s="80"/>
      <c r="Z59" s="80"/>
      <c r="AA59" s="80"/>
      <c r="AB59" s="80"/>
      <c r="AC59" s="80"/>
      <c r="AD59" s="80"/>
      <c r="AE59" s="79"/>
      <c r="AF59" s="80"/>
      <c r="AG59" s="80"/>
      <c r="AH59" s="80"/>
      <c r="AI59" s="80"/>
      <c r="AJ59" s="83" t="s">
        <v>384</v>
      </c>
      <c r="AK59" s="80"/>
      <c r="AL59" s="7" t="s">
        <v>385</v>
      </c>
      <c r="AM59" s="80"/>
      <c r="AN59" s="4" t="s">
        <v>386</v>
      </c>
      <c r="AO59" s="23"/>
    </row>
    <row r="60" spans="1:41" s="5" customFormat="1" ht="12.75" customHeight="1" thickBot="1" x14ac:dyDescent="0.25">
      <c r="A60" s="131"/>
      <c r="B60" s="176"/>
      <c r="C60" s="177" t="s">
        <v>387</v>
      </c>
      <c r="D60" s="121" t="s">
        <v>53</v>
      </c>
      <c r="E60" s="89"/>
      <c r="F60" s="89"/>
      <c r="G60" s="90"/>
      <c r="H60" s="91"/>
      <c r="I60" s="92"/>
      <c r="J60" s="90"/>
      <c r="K60" s="91"/>
      <c r="L60" s="91"/>
      <c r="M60" s="91"/>
      <c r="N60" s="91"/>
      <c r="O60" s="91"/>
      <c r="P60" s="91"/>
      <c r="Q60" s="91"/>
      <c r="R60" s="91"/>
      <c r="S60" s="91"/>
      <c r="T60" s="92"/>
      <c r="U60" s="90"/>
      <c r="V60" s="91"/>
      <c r="W60" s="91"/>
      <c r="X60" s="91"/>
      <c r="Y60" s="91"/>
      <c r="Z60" s="91"/>
      <c r="AA60" s="91"/>
      <c r="AB60" s="91"/>
      <c r="AC60" s="91"/>
      <c r="AD60" s="91"/>
      <c r="AE60" s="90"/>
      <c r="AF60" s="91"/>
      <c r="AG60" s="91"/>
      <c r="AH60" s="91"/>
      <c r="AI60" s="91"/>
      <c r="AJ60" s="91"/>
      <c r="AK60" s="91"/>
      <c r="AL60" s="91"/>
      <c r="AM60" s="91"/>
      <c r="AN60" s="91"/>
      <c r="AO60" s="23"/>
    </row>
    <row r="61" spans="1:41" x14ac:dyDescent="0.2">
      <c r="AO61" s="23"/>
    </row>
    <row r="62" spans="1:41" x14ac:dyDescent="0.2">
      <c r="AO62" s="23"/>
    </row>
    <row r="63" spans="1:41" x14ac:dyDescent="0.2">
      <c r="L63" s="178" t="s">
        <v>388</v>
      </c>
      <c r="M63" s="179"/>
      <c r="N63" s="178" t="s">
        <v>389</v>
      </c>
      <c r="O63" s="180"/>
      <c r="P63" s="180"/>
      <c r="Q63" s="181"/>
      <c r="R63" s="182"/>
    </row>
    <row r="64" spans="1:41" x14ac:dyDescent="0.2">
      <c r="L64" s="183" t="s">
        <v>390</v>
      </c>
      <c r="M64" s="184" t="s">
        <v>391</v>
      </c>
      <c r="N64" s="183" t="s">
        <v>390</v>
      </c>
      <c r="O64" s="185"/>
      <c r="P64" s="185"/>
      <c r="Q64" s="186" t="s">
        <v>391</v>
      </c>
      <c r="R64" s="182"/>
      <c r="X64" s="6">
        <v>74</v>
      </c>
    </row>
    <row r="65" spans="11:41" x14ac:dyDescent="0.2">
      <c r="K65" s="6" t="s">
        <v>392</v>
      </c>
      <c r="L65" s="182">
        <f>COUNTA(F12:AD17,AE12:AN17)</f>
        <v>53</v>
      </c>
      <c r="M65" s="187">
        <f>COUNTA(#REF!,#REF!)</f>
        <v>2</v>
      </c>
      <c r="N65" s="182">
        <f>COUNTA(G12:G13,#REF!,J13,K12:L15,Q13:R13,U13:W14,U16:U17,W16:W17,AA13:AB14,AA16:AA17,AB16,AD14:AD17,AK17,AL14:AL17,AN14,AN16:AN17)</f>
        <v>39</v>
      </c>
      <c r="O65" s="188"/>
      <c r="P65" s="188"/>
      <c r="Q65" s="6">
        <f>COUNTA(#REF!,#REF!)</f>
        <v>2</v>
      </c>
      <c r="R65" s="182">
        <f>SUM(L65:Q65)</f>
        <v>96</v>
      </c>
      <c r="X65" s="6">
        <v>42</v>
      </c>
    </row>
    <row r="66" spans="11:41" x14ac:dyDescent="0.2">
      <c r="K66" s="6" t="s">
        <v>393</v>
      </c>
      <c r="L66" s="182">
        <f>COUNTA(F18:AD20,AE18:AN20)</f>
        <v>15</v>
      </c>
      <c r="M66" s="187">
        <f>COUNTA(#REF!,#REF!)</f>
        <v>2</v>
      </c>
      <c r="N66" s="182">
        <f>COUNTA(K19:L19,R19,AE20,AG19:AG20,AL19:AL20,AN20)</f>
        <v>9</v>
      </c>
      <c r="O66" s="188"/>
      <c r="P66" s="188"/>
      <c r="Q66" s="6">
        <f>COUNTA(#REF!,#REF!)</f>
        <v>2</v>
      </c>
      <c r="R66" s="182">
        <f>SUM(L66:Q66)</f>
        <v>28</v>
      </c>
    </row>
    <row r="67" spans="11:41" x14ac:dyDescent="0.2">
      <c r="K67" s="189" t="s">
        <v>394</v>
      </c>
      <c r="L67" s="190">
        <f>COUNTA(F21:AD22,AE21:AN22)</f>
        <v>7</v>
      </c>
      <c r="M67" s="191">
        <f>COUNTA(#REF!,#REF!)</f>
        <v>2</v>
      </c>
      <c r="N67" s="190">
        <v>0</v>
      </c>
      <c r="O67" s="189"/>
      <c r="P67" s="189"/>
      <c r="Q67" s="189">
        <v>0</v>
      </c>
      <c r="R67" s="190">
        <f>SUM(L67:Q67)</f>
        <v>9</v>
      </c>
    </row>
    <row r="68" spans="11:41" x14ac:dyDescent="0.2">
      <c r="L68" s="192">
        <f>SUM(L65:L67)</f>
        <v>75</v>
      </c>
      <c r="M68" s="6">
        <f>SUM(M65:M67)</f>
        <v>6</v>
      </c>
      <c r="N68" s="192">
        <f>SUM(N65:N67)</f>
        <v>48</v>
      </c>
      <c r="O68" s="188"/>
      <c r="P68" s="188"/>
      <c r="Q68" s="6">
        <f>SUM(Q65:Q67)</f>
        <v>4</v>
      </c>
      <c r="R68" s="192">
        <f>SUM(R65:R67)</f>
        <v>133</v>
      </c>
      <c r="AO68" s="193" t="s">
        <v>60</v>
      </c>
    </row>
    <row r="69" spans="11:41" x14ac:dyDescent="0.2">
      <c r="AO69" s="194" t="s">
        <v>72</v>
      </c>
    </row>
    <row r="70" spans="11:41" x14ac:dyDescent="0.2">
      <c r="L70" s="178" t="s">
        <v>388</v>
      </c>
      <c r="M70" s="179"/>
      <c r="N70" s="178" t="s">
        <v>389</v>
      </c>
      <c r="O70" s="180"/>
      <c r="P70" s="180"/>
      <c r="Q70" s="181"/>
      <c r="R70" s="182"/>
      <c r="AO70" s="193" t="s">
        <v>84</v>
      </c>
    </row>
    <row r="71" spans="11:41" x14ac:dyDescent="0.2">
      <c r="L71" s="183" t="s">
        <v>390</v>
      </c>
      <c r="M71" s="184" t="s">
        <v>391</v>
      </c>
      <c r="N71" s="183" t="s">
        <v>390</v>
      </c>
      <c r="O71" s="185"/>
      <c r="P71" s="185"/>
      <c r="Q71" s="186" t="s">
        <v>391</v>
      </c>
      <c r="R71" s="182"/>
      <c r="AO71" s="193" t="s">
        <v>88</v>
      </c>
    </row>
    <row r="72" spans="11:41" x14ac:dyDescent="0.2">
      <c r="K72" s="6" t="s">
        <v>395</v>
      </c>
      <c r="L72" s="182">
        <f>COUNTA(J23:AD26,AE23:AN26)</f>
        <v>38</v>
      </c>
      <c r="M72" s="187">
        <f>COUNTA(#REF!,#REF!)</f>
        <v>2</v>
      </c>
      <c r="N72" s="182">
        <f>COUNTA(K23,K25:L25,U23:U26,W25:W26,AA25:AD26,AB23:AB24,AK23:AL26)</f>
        <v>22</v>
      </c>
      <c r="O72" s="188"/>
      <c r="P72" s="188"/>
      <c r="Q72" s="6">
        <f>COUNTA(#REF!,#REF!)</f>
        <v>2</v>
      </c>
      <c r="R72" s="182">
        <f>SUM(L72:Q72)</f>
        <v>64</v>
      </c>
      <c r="AO72" s="194" t="s">
        <v>97</v>
      </c>
    </row>
    <row r="73" spans="11:41" x14ac:dyDescent="0.2">
      <c r="K73" s="6" t="s">
        <v>396</v>
      </c>
      <c r="L73" s="182">
        <f>COUNTA(J27:AD30,AE27:AN30)</f>
        <v>21</v>
      </c>
      <c r="M73" s="187">
        <f>COUNTA(#REF!,#REF!)</f>
        <v>2</v>
      </c>
      <c r="N73" s="182">
        <f>COUNTA(K27,K29:L29,U27:U30,AA29:AB30)</f>
        <v>11</v>
      </c>
      <c r="O73" s="188"/>
      <c r="P73" s="188"/>
      <c r="Q73" s="6">
        <f>COUNTA(#REF!,#REF!)</f>
        <v>2</v>
      </c>
      <c r="R73" s="182">
        <f>SUM(L73:Q73)</f>
        <v>36</v>
      </c>
    </row>
    <row r="74" spans="11:41" x14ac:dyDescent="0.2">
      <c r="K74" s="6" t="s">
        <v>397</v>
      </c>
      <c r="L74" s="182">
        <f>COUNTA(F31:AD31,AE31:AN31)</f>
        <v>4</v>
      </c>
      <c r="M74" s="187">
        <f>COUNTA(#REF!,#REF!)</f>
        <v>2</v>
      </c>
      <c r="N74" s="182">
        <f>COUNTA(K31:AL31)</f>
        <v>4</v>
      </c>
      <c r="O74" s="188"/>
      <c r="P74" s="188"/>
      <c r="Q74" s="6">
        <f>COUNTA(#REF!,#REF!)</f>
        <v>2</v>
      </c>
      <c r="R74" s="182">
        <f>SUM(L74:Q74)</f>
        <v>12</v>
      </c>
      <c r="AO74" s="194" t="s">
        <v>108</v>
      </c>
    </row>
    <row r="75" spans="11:41" x14ac:dyDescent="0.2">
      <c r="K75" s="6" t="s">
        <v>398</v>
      </c>
      <c r="L75" s="182">
        <f>COUNTA(J32:AD34,AE32:AN34)</f>
        <v>11</v>
      </c>
      <c r="M75" s="187">
        <f>COUNTA(#REF!,#REF!)</f>
        <v>2</v>
      </c>
      <c r="N75" s="182">
        <f>COUNTA(U33)</f>
        <v>1</v>
      </c>
      <c r="O75" s="188"/>
      <c r="P75" s="188"/>
      <c r="Q75" s="6">
        <f>COUNTA(#REF!,#REF!)</f>
        <v>2</v>
      </c>
      <c r="R75" s="182">
        <f>SUM(L75:Q75)</f>
        <v>16</v>
      </c>
      <c r="AO75" s="194" t="s">
        <v>112</v>
      </c>
    </row>
    <row r="76" spans="11:41" x14ac:dyDescent="0.2">
      <c r="K76" s="189" t="s">
        <v>399</v>
      </c>
      <c r="L76" s="190">
        <f>COUNTA(J35:AD37,AE35:AN37)</f>
        <v>11</v>
      </c>
      <c r="M76" s="191">
        <f>COUNTA(#REF!,#REF!)</f>
        <v>2</v>
      </c>
      <c r="N76" s="190">
        <f>COUNTA(U36)</f>
        <v>1</v>
      </c>
      <c r="O76" s="189"/>
      <c r="P76" s="189"/>
      <c r="Q76" s="189">
        <f>COUNTA(#REF!,#REF!)</f>
        <v>2</v>
      </c>
      <c r="R76" s="190">
        <f>SUM(L76:Q76)</f>
        <v>16</v>
      </c>
      <c r="AO76" s="194" t="s">
        <v>119</v>
      </c>
    </row>
    <row r="77" spans="11:41" x14ac:dyDescent="0.2">
      <c r="L77" s="192">
        <f>SUM(L72:L76)</f>
        <v>85</v>
      </c>
      <c r="M77" s="6">
        <f>SUM(M72:M76)</f>
        <v>10</v>
      </c>
      <c r="N77" s="192">
        <f>SUM(N72:N76)</f>
        <v>39</v>
      </c>
      <c r="O77" s="188"/>
      <c r="P77" s="188"/>
      <c r="Q77" s="6">
        <f>SUM(Q72:Q76)</f>
        <v>10</v>
      </c>
      <c r="R77" s="192">
        <f>SUM(R72:R76)</f>
        <v>144</v>
      </c>
      <c r="AO77" s="194" t="s">
        <v>128</v>
      </c>
    </row>
    <row r="78" spans="11:41" x14ac:dyDescent="0.2">
      <c r="AO78" s="194" t="s">
        <v>132</v>
      </c>
    </row>
    <row r="79" spans="11:41" x14ac:dyDescent="0.2">
      <c r="AO79" s="194" t="s">
        <v>139</v>
      </c>
    </row>
    <row r="80" spans="11:41" x14ac:dyDescent="0.2">
      <c r="L80" s="178" t="s">
        <v>388</v>
      </c>
      <c r="M80" s="179"/>
      <c r="N80" s="178" t="s">
        <v>389</v>
      </c>
      <c r="O80" s="180"/>
      <c r="P80" s="180"/>
      <c r="Q80" s="181"/>
      <c r="R80" s="182"/>
      <c r="AO80" s="194" t="s">
        <v>154</v>
      </c>
    </row>
    <row r="81" spans="11:41" x14ac:dyDescent="0.2">
      <c r="L81" s="183" t="s">
        <v>390</v>
      </c>
      <c r="M81" s="184" t="s">
        <v>391</v>
      </c>
      <c r="N81" s="183" t="s">
        <v>390</v>
      </c>
      <c r="O81" s="185"/>
      <c r="P81" s="185"/>
      <c r="Q81" s="186" t="s">
        <v>391</v>
      </c>
      <c r="R81" s="182"/>
      <c r="AO81" s="194" t="s">
        <v>167</v>
      </c>
    </row>
    <row r="82" spans="11:41" x14ac:dyDescent="0.2">
      <c r="K82" s="6" t="s">
        <v>400</v>
      </c>
      <c r="L82" s="182">
        <f>COUNTA(F38:AD43,AE38:AN43)</f>
        <v>67</v>
      </c>
      <c r="M82" s="187">
        <v>0</v>
      </c>
      <c r="N82" s="182">
        <f>COUNTA(H39:I39,L39:N39,K40:L40,K42:L42,M41:M42,R39:R42,W40,X42,AB40,AB42:AB43,AD41:AD43,#REF!)</f>
        <v>16</v>
      </c>
      <c r="O82" s="188"/>
      <c r="P82" s="188"/>
      <c r="Q82" s="6">
        <v>0</v>
      </c>
      <c r="R82" s="182">
        <f>SUM(L82:Q82)</f>
        <v>83</v>
      </c>
      <c r="AO82" s="194" t="s">
        <v>196</v>
      </c>
    </row>
    <row r="83" spans="11:41" x14ac:dyDescent="0.2">
      <c r="AO83" s="194" t="s">
        <v>203</v>
      </c>
    </row>
    <row r="84" spans="11:41" x14ac:dyDescent="0.2">
      <c r="AO84" s="194" t="s">
        <v>205</v>
      </c>
    </row>
    <row r="85" spans="11:41" x14ac:dyDescent="0.2">
      <c r="L85" s="178" t="s">
        <v>388</v>
      </c>
      <c r="M85" s="179"/>
      <c r="N85" s="178" t="s">
        <v>389</v>
      </c>
      <c r="O85" s="180"/>
      <c r="P85" s="180"/>
      <c r="Q85" s="181"/>
      <c r="R85" s="182"/>
      <c r="AO85" s="194" t="s">
        <v>211</v>
      </c>
    </row>
    <row r="86" spans="11:41" x14ac:dyDescent="0.2">
      <c r="L86" s="183" t="s">
        <v>390</v>
      </c>
      <c r="M86" s="184" t="s">
        <v>391</v>
      </c>
      <c r="N86" s="183" t="s">
        <v>390</v>
      </c>
      <c r="O86" s="185"/>
      <c r="P86" s="185"/>
      <c r="Q86" s="186" t="s">
        <v>391</v>
      </c>
      <c r="R86" s="182"/>
    </row>
    <row r="87" spans="11:41" x14ac:dyDescent="0.2">
      <c r="K87" s="6" t="s">
        <v>401</v>
      </c>
      <c r="L87" s="182">
        <f>COUNTA(J44:AD47,AE44:AN47)</f>
        <v>16</v>
      </c>
      <c r="M87" s="187">
        <f>COUNTA(#REF!,#REF!)</f>
        <v>2</v>
      </c>
      <c r="N87" s="182">
        <f>COUNTA(K38,K40:L40,U38:U41,W40:W41,AA40:AD41,AB38:AB39,AK38:AL41)</f>
        <v>10</v>
      </c>
      <c r="O87" s="188"/>
      <c r="P87" s="188"/>
      <c r="Q87" s="6">
        <f>COUNTA(#REF!,#REF!)</f>
        <v>2</v>
      </c>
      <c r="R87" s="182">
        <f t="shared" ref="R87:R92" si="0">SUM(L87:Q87)</f>
        <v>30</v>
      </c>
    </row>
    <row r="88" spans="11:41" x14ac:dyDescent="0.2">
      <c r="K88" s="6" t="s">
        <v>402</v>
      </c>
      <c r="L88" s="182">
        <f>COUNTA(F48:AD48,AE48:AN48)</f>
        <v>6</v>
      </c>
      <c r="M88" s="187">
        <f>COUNTA(#REF!,#REF!)</f>
        <v>2</v>
      </c>
      <c r="N88" s="182">
        <f>COUNTA(K45:AL45)</f>
        <v>4</v>
      </c>
      <c r="O88" s="188"/>
      <c r="P88" s="188"/>
      <c r="Q88" s="6">
        <f>COUNTA(#REF!,#REF!)</f>
        <v>2</v>
      </c>
      <c r="R88" s="182">
        <f t="shared" si="0"/>
        <v>14</v>
      </c>
    </row>
    <row r="89" spans="11:41" x14ac:dyDescent="0.2">
      <c r="K89" s="6" t="s">
        <v>397</v>
      </c>
      <c r="L89" s="182">
        <f>COUNTA(F49:AD52,AE49:AN52)</f>
        <v>29</v>
      </c>
      <c r="M89" s="187">
        <f>COUNTA(#REF!,#REF!)</f>
        <v>2</v>
      </c>
      <c r="N89" s="182">
        <f>COUNTA(K47:AL47)</f>
        <v>2</v>
      </c>
      <c r="O89" s="188"/>
      <c r="P89" s="188"/>
      <c r="Q89" s="6">
        <f>COUNTA(#REF!,#REF!)</f>
        <v>2</v>
      </c>
      <c r="R89" s="182">
        <f t="shared" si="0"/>
        <v>35</v>
      </c>
    </row>
    <row r="90" spans="11:41" x14ac:dyDescent="0.2">
      <c r="K90" s="6" t="s">
        <v>403</v>
      </c>
      <c r="L90" s="182">
        <f>COUNTA(K53:AD55,AE53:AN55)</f>
        <v>9</v>
      </c>
      <c r="M90" s="187">
        <f>COUNTA(#REF!,#REF!)</f>
        <v>2</v>
      </c>
      <c r="N90" s="182">
        <f>COUNTA(U49)</f>
        <v>0</v>
      </c>
      <c r="O90" s="188"/>
      <c r="P90" s="188"/>
      <c r="Q90" s="6">
        <f>COUNTA(#REF!,#REF!)</f>
        <v>2</v>
      </c>
      <c r="R90" s="182">
        <f t="shared" si="0"/>
        <v>13</v>
      </c>
    </row>
    <row r="91" spans="11:41" x14ac:dyDescent="0.2">
      <c r="K91" s="6" t="s">
        <v>404</v>
      </c>
      <c r="L91" s="182">
        <f>COUNTA(F56:AD56,AE56:AN56)</f>
        <v>5</v>
      </c>
      <c r="M91" s="187">
        <f>COUNTA(#REF!,#REF!)</f>
        <v>2</v>
      </c>
      <c r="N91" s="182">
        <f>COUNTA(K49:AL49)</f>
        <v>4</v>
      </c>
      <c r="O91" s="188"/>
      <c r="P91" s="188"/>
      <c r="Q91" s="6">
        <f>COUNTA(#REF!,#REF!)</f>
        <v>2</v>
      </c>
      <c r="R91" s="182">
        <f t="shared" si="0"/>
        <v>13</v>
      </c>
    </row>
    <row r="92" spans="11:41" x14ac:dyDescent="0.2">
      <c r="K92" s="189" t="s">
        <v>405</v>
      </c>
      <c r="L92" s="190">
        <f>COUNTA(J57:AD60,AE57:AN60)</f>
        <v>19</v>
      </c>
      <c r="M92" s="191">
        <f>COUNTA(#REF!,#REF!)</f>
        <v>2</v>
      </c>
      <c r="N92" s="190">
        <f>COUNTA(U52)</f>
        <v>0</v>
      </c>
      <c r="O92" s="189"/>
      <c r="P92" s="189"/>
      <c r="Q92" s="189">
        <f>COUNTA(#REF!,#REF!)</f>
        <v>2</v>
      </c>
      <c r="R92" s="190">
        <f t="shared" si="0"/>
        <v>23</v>
      </c>
    </row>
    <row r="93" spans="11:41" x14ac:dyDescent="0.2">
      <c r="L93" s="192">
        <f>SUM(L87:L92)</f>
        <v>84</v>
      </c>
      <c r="M93" s="6">
        <f>SUM(M87:M92)</f>
        <v>12</v>
      </c>
      <c r="N93" s="192">
        <f>SUM(N87:N92)</f>
        <v>20</v>
      </c>
      <c r="O93" s="188"/>
      <c r="P93" s="188"/>
      <c r="Q93" s="6">
        <f>SUM(Q87:Q92)</f>
        <v>12</v>
      </c>
      <c r="R93" s="192">
        <f>SUM(R87:R92)</f>
        <v>128</v>
      </c>
    </row>
  </sheetData>
  <mergeCells count="43">
    <mergeCell ref="L85:M85"/>
    <mergeCell ref="N85:Q85"/>
    <mergeCell ref="L63:M63"/>
    <mergeCell ref="N63:Q63"/>
    <mergeCell ref="L70:M70"/>
    <mergeCell ref="N70:Q70"/>
    <mergeCell ref="L80:M80"/>
    <mergeCell ref="N80:Q80"/>
    <mergeCell ref="AG9:AH9"/>
    <mergeCell ref="AI9:AJ9"/>
    <mergeCell ref="AK9:AL9"/>
    <mergeCell ref="AM9:AN9"/>
    <mergeCell ref="B49:B50"/>
    <mergeCell ref="B57:B58"/>
    <mergeCell ref="U9:V9"/>
    <mergeCell ref="W9:X9"/>
    <mergeCell ref="Y9:Z9"/>
    <mergeCell ref="AA9:AB9"/>
    <mergeCell ref="AC9:AD9"/>
    <mergeCell ref="AE9:AF9"/>
    <mergeCell ref="AA6:AD6"/>
    <mergeCell ref="AE6:AH6"/>
    <mergeCell ref="AI6:AJ6"/>
    <mergeCell ref="AK6:AN6"/>
    <mergeCell ref="G9:I9"/>
    <mergeCell ref="J9:L9"/>
    <mergeCell ref="M9:N9"/>
    <mergeCell ref="O9:P9"/>
    <mergeCell ref="Q9:R9"/>
    <mergeCell ref="S9:T9"/>
    <mergeCell ref="H6:I6"/>
    <mergeCell ref="K6:N6"/>
    <mergeCell ref="O6:P6"/>
    <mergeCell ref="Q6:T6"/>
    <mergeCell ref="U6:X6"/>
    <mergeCell ref="Y6:Z6"/>
    <mergeCell ref="E3:AN3"/>
    <mergeCell ref="E4:T4"/>
    <mergeCell ref="U4:AN4"/>
    <mergeCell ref="G5:I5"/>
    <mergeCell ref="J5:T5"/>
    <mergeCell ref="U5:AD5"/>
    <mergeCell ref="AE5:A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1° LEVEL SINCOM</vt:lpstr>
    </vt:vector>
  </TitlesOfParts>
  <Company>Teoresi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Gattuso</dc:creator>
  <cp:lastModifiedBy>Nicola Gattuso</cp:lastModifiedBy>
  <dcterms:created xsi:type="dcterms:W3CDTF">2026-06-14T13:43:02Z</dcterms:created>
  <dcterms:modified xsi:type="dcterms:W3CDTF">2026-06-14T13:43:34Z</dcterms:modified>
</cp:coreProperties>
</file>